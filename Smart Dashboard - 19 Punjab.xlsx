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Combat Potential" sheetId="1" state="visible" r:id="rId3"/>
    <sheet name="2. Vehicle State" sheetId="2" state="visible" r:id="rId4"/>
    <sheet name="3. Weapons State" sheetId="3" state="visible" r:id="rId5"/>
    <sheet name="4. Critical Equipment" sheetId="4" state="visible" r:id="rId6"/>
    <sheet name="5. Signals Equipment" sheetId="5" state="visible" r:id="rId7"/>
    <sheet name="6. Ammunition State" sheetId="6" state="visible" r:id="rId8"/>
    <sheet name="7. POL State" sheetId="7" state="visible" r:id="rId9"/>
    <sheet name="8. Audit Objections" sheetId="8" state="visible" r:id="rId10"/>
    <sheet name="9. Upcoming Events" sheetId="9" state="visible" r:id="rId11"/>
    <sheet name="10. Promotion State" sheetId="10" state="visible" r:id="rId12"/>
    <sheet name="11. Officers Appointments" sheetId="11" state="visible" r:id="rId13"/>
    <sheet name="12. Key Appointments JCO-NCO" sheetId="12" state="visible" r:id="rId14"/>
    <sheet name="13. Personnel Data (Sample)" sheetId="13" state="visible" r:id="rId15"/>
  </sheets>
  <definedNames>
    <definedName function="false" hidden="false" localSheetId="0" name="_xlnm.Print_Titles" vbProcedure="false">'1. Combat Potential'!$1:$2</definedName>
    <definedName function="false" hidden="false" localSheetId="9" name="_xlnm.Print_Titles" vbProcedure="false">'10. Promotion State'!$1:$2</definedName>
    <definedName function="false" hidden="false" localSheetId="10" name="_xlnm.Print_Titles" vbProcedure="false">'11. Officers Appointments'!$1:$2</definedName>
    <definedName function="false" hidden="false" localSheetId="11" name="_xlnm.Print_Titles" vbProcedure="false">'12. Key Appointments JCO-NCO'!$1:$2</definedName>
    <definedName function="false" hidden="false" localSheetId="12" name="_xlnm.Print_Titles" vbProcedure="false">'13. Personnel Data (Sample)'!$1:$2</definedName>
    <definedName function="false" hidden="false" localSheetId="1" name="_xlnm.Print_Titles" vbProcedure="false">'2. Vehicle State'!$1:$2</definedName>
    <definedName function="false" hidden="false" localSheetId="2" name="_xlnm.Print_Titles" vbProcedure="false">'3. Weapons State'!$1:$2</definedName>
    <definedName function="false" hidden="false" localSheetId="3" name="_xlnm.Print_Titles" vbProcedure="false">'4. Critical Equipment'!$1:$2</definedName>
    <definedName function="false" hidden="false" localSheetId="4" name="_xlnm.Print_Titles" vbProcedure="false">'5. Signals Equipment'!$1:$2</definedName>
    <definedName function="false" hidden="false" localSheetId="5" name="_xlnm.Print_Titles" vbProcedure="false">'6. Ammunition State'!$1:$2</definedName>
    <definedName function="false" hidden="false" localSheetId="6" name="_xlnm.Print_Titles" vbProcedure="false">'7. POL State'!$1:$2</definedName>
    <definedName function="false" hidden="false" localSheetId="7" name="_xlnm.Print_Titles" vbProcedure="false">'8. Audit Objections'!$1:$2</definedName>
    <definedName function="false" hidden="false" localSheetId="8" name="_xlnm.Print_Titles" vbProcedure="false">'9. Upcoming Events'!$1:$2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<sst xmlns="http://schemas.openxmlformats.org/spreadsheetml/2006/main" count="863" uniqueCount="584">
  <si>
    <t xml:space="preserve">UNIT STATE – COMBAT POTENTIAL &amp; MANPOWER SUMMARY</t>
  </si>
  <si>
    <t xml:space="preserve">XX Mechanized Infantry Battalion  |  25 Mechanized Division  |  As on: 13 Aug 2026  |  Classification: FOR OFFICIAL USE ONLY</t>
  </si>
  <si>
    <t xml:space="preserve">OVERALL COMBAT POTENTIAL DASHBOARD</t>
  </si>
  <si>
    <t xml:space="preserve">Parameter</t>
  </si>
  <si>
    <t xml:space="preserve">Authorized</t>
  </si>
  <si>
    <t xml:space="preserve">Held / Serviceable</t>
  </si>
  <si>
    <t xml:space="preserve">Availability %</t>
  </si>
  <si>
    <t xml:space="preserve">Weightage</t>
  </si>
  <si>
    <t xml:space="preserve">Weighted Score</t>
  </si>
  <si>
    <t xml:space="preserve">Manpower (Available)</t>
  </si>
  <si>
    <t xml:space="preserve">A-Vehicles Serviceability</t>
  </si>
  <si>
    <t xml:space="preserve">B-Vehicles Serviceability</t>
  </si>
  <si>
    <t xml:space="preserve">Personal Weapons (Cl-1/2)</t>
  </si>
  <si>
    <t xml:space="preserve">Crew-Served / Heavy Wpns</t>
  </si>
  <si>
    <t xml:space="preserve">Critical Eqpt (NVD/LRF etc)</t>
  </si>
  <si>
    <t xml:space="preserve">Signals Equipment</t>
  </si>
  <si>
    <t xml:space="preserve">OVERALL COMBAT POTENTIAL</t>
  </si>
  <si>
    <t xml:space="preserve">Note: Overall Combat Potential is a weighted composite. Target for high readiness units is ≥ 75%.</t>
  </si>
  <si>
    <t xml:space="preserve">MANPOWER STRENGTH STATE</t>
  </si>
  <si>
    <t xml:space="preserve">Category</t>
  </si>
  <si>
    <t xml:space="preserve">Strength</t>
  </si>
  <si>
    <t xml:space="preserve">% of Held</t>
  </si>
  <si>
    <t xml:space="preserve">% of Authorized</t>
  </si>
  <si>
    <t xml:space="preserve">Remarks</t>
  </si>
  <si>
    <t xml:space="preserve">AUTHORIZED STRENGTH</t>
  </si>
  <si>
    <t xml:space="preserve">-</t>
  </si>
  <si>
    <t xml:space="preserve">100%</t>
  </si>
  <si>
    <t xml:space="preserve">War Establishment</t>
  </si>
  <si>
    <t xml:space="preserve">HELD STRENGTH</t>
  </si>
  <si>
    <t xml:space="preserve">Current Posted Strength</t>
  </si>
  <si>
    <t xml:space="preserve">On Privilege Leave (P Leave)</t>
  </si>
  <si>
    <t xml:space="preserve">Annual leave / accumulated</t>
  </si>
  <si>
    <t xml:space="preserve">On Casual Leave (C Leave)</t>
  </si>
  <si>
    <t xml:space="preserve">Short leave / urgent</t>
  </si>
  <si>
    <t xml:space="preserve">Formation Guard Duties</t>
  </si>
  <si>
    <t xml:space="preserve">Div / Bde HQ &amp; installations</t>
  </si>
  <si>
    <t xml:space="preserve">Out Station Guard Duties</t>
  </si>
  <si>
    <t xml:space="preserve">Static dets / VIP / key points</t>
  </si>
  <si>
    <t xml:space="preserve">Attachments in Various HQs</t>
  </si>
  <si>
    <t xml:space="preserve">Div/Bde/Corps/GHQ attachments</t>
  </si>
  <si>
    <t xml:space="preserve">On Various Courses</t>
  </si>
  <si>
    <t xml:space="preserve">BC, JC, Technical, Trade courses</t>
  </si>
  <si>
    <t xml:space="preserve">AVAILABLE MANPOWER</t>
  </si>
  <si>
    <t xml:space="preserve">Present for duty / training</t>
  </si>
  <si>
    <t xml:space="preserve">TOTAL HELD (Check)</t>
  </si>
  <si>
    <t xml:space="preserve">DEFICIENCY (Auth - Held)</t>
  </si>
  <si>
    <t xml:space="preserve">Under-posted; recruitment / posting in progress</t>
  </si>
  <si>
    <t xml:space="preserve">KEY OBSERVATIONS:
• Available Manpower stands at 310 (41.3% of Auth / 57.4% of Held). This is the effective strength available for operational tasks &amp; training.
• Significant numbers committed to guard duties (Formation + Out Station = 90) and courses (45) reduce immediate combat power.
• Overall Combat Potential calculated above incorporates vehicle, weapon and equipment readiness weighted by operational importance.</t>
  </si>
  <si>
    <t xml:space="preserve">VEHICLE STATE – A &amp; B VEHICLES</t>
  </si>
  <si>
    <t xml:space="preserve">XX Mech Inf Bn  |  As on 13 Aug 2026</t>
  </si>
  <si>
    <t xml:space="preserve">A – VEHICLES (Tracked / Armoured)</t>
  </si>
  <si>
    <t xml:space="preserve">S/No</t>
  </si>
  <si>
    <t xml:space="preserve">Type of Vehicle</t>
  </si>
  <si>
    <t xml:space="preserve">Held</t>
  </si>
  <si>
    <t xml:space="preserve">On Road</t>
  </si>
  <si>
    <t xml:space="preserve">Off Road</t>
  </si>
  <si>
    <t xml:space="preserve">In Workshop</t>
  </si>
  <si>
    <t xml:space="preserve">Serviceability %</t>
  </si>
  <si>
    <t xml:space="preserve">Deficiency</t>
  </si>
  <si>
    <t xml:space="preserve">APC (M113 / Al-Talha type)</t>
  </si>
  <si>
    <t xml:space="preserve">2 under deep repair at EME Bn</t>
  </si>
  <si>
    <t xml:space="preserve">ARV (Armoured Recovery Vehicle)</t>
  </si>
  <si>
    <t xml:space="preserve">1 x engine overhaul</t>
  </si>
  <si>
    <t xml:space="preserve">Command APC / IFV variants</t>
  </si>
  <si>
    <t xml:space="preserve">Fully serviceable</t>
  </si>
  <si>
    <t xml:space="preserve">TOTAL A-VEHICLES</t>
  </si>
  <si>
    <t xml:space="preserve">B – VEHICLES (Wheeled Soft-Skin)</t>
  </si>
  <si>
    <t xml:space="preserve">5-Ton Truck (Bedford / Hino)</t>
  </si>
  <si>
    <t xml:space="preserve">1 x clutch &amp; gearbox</t>
  </si>
  <si>
    <t xml:space="preserve">Double Cabin (Toyota / Isuzu)</t>
  </si>
  <si>
    <t xml:space="preserve">Routine maintenance</t>
  </si>
  <si>
    <t xml:space="preserve">Jeep / 4x4 Utility</t>
  </si>
  <si>
    <t xml:space="preserve">Water Bowzer (2000/3000 L)</t>
  </si>
  <si>
    <t xml:space="preserve">Serviceable</t>
  </si>
  <si>
    <t xml:space="preserve">RKR / Recovery Light</t>
  </si>
  <si>
    <t xml:space="preserve">1 x off-road for tyres</t>
  </si>
  <si>
    <t xml:space="preserve">Motorcycle (Honda / Yamaha)</t>
  </si>
  <si>
    <t xml:space="preserve">1 x accident damage</t>
  </si>
  <si>
    <t xml:space="preserve">TOTAL B-VEHICLES</t>
  </si>
  <si>
    <t xml:space="preserve">GRAND TOTAL (A + B)</t>
  </si>
  <si>
    <t xml:space="preserve">NOTES:
• On Road = Fully serviceable and available for operational deployment.
• Off Road = Temporarily unserviceable (awaiting spares / minor repair within unit).
• In Workshop = Sent to EME / Base Workshop for major repair or overhaul.
• Serviceability % calculated on Held strength (On Road / Held).</t>
  </si>
  <si>
    <t xml:space="preserve">WEAPONS STATE – AUTHORIZED vs HELD</t>
  </si>
  <si>
    <t xml:space="preserve">Weapon Type</t>
  </si>
  <si>
    <t xml:space="preserve">Held %</t>
  </si>
  <si>
    <t xml:space="preserve">Cl-1 (S)</t>
  </si>
  <si>
    <t xml:space="preserve">Cl-2 (S)</t>
  </si>
  <si>
    <t xml:space="preserve">Cl-3 (S)</t>
  </si>
  <si>
    <t xml:space="preserve">Cl-4 (WS)</t>
  </si>
  <si>
    <t xml:space="preserve">Cl-5/6 (Condemn)</t>
  </si>
  <si>
    <t xml:space="preserve">Rifle G3 (7.62mm)</t>
  </si>
  <si>
    <t xml:space="preserve">SMG / MP5</t>
  </si>
  <si>
    <t xml:space="preserve">LMG (MG3 / PKM type)</t>
  </si>
  <si>
    <t xml:space="preserve">12.7 mm HMG</t>
  </si>
  <si>
    <t xml:space="preserve">Pistol (9mm)</t>
  </si>
  <si>
    <t xml:space="preserve">RPG-7</t>
  </si>
  <si>
    <t xml:space="preserve">60 mm Mortar</t>
  </si>
  <si>
    <t xml:space="preserve">81 mm Mortar</t>
  </si>
  <si>
    <t xml:space="preserve">LSR / Sniper Rifle</t>
  </si>
  <si>
    <t xml:space="preserve">ATGM (Baktar-Shikan / TOW type)</t>
  </si>
  <si>
    <t xml:space="preserve">Pencil / Training Shooting Aid</t>
  </si>
  <si>
    <t xml:space="preserve">TOTAL</t>
  </si>
  <si>
    <t xml:space="preserve">CLASSIFICATION LEGEND:
Cl-1  = Fully serviceable, ready for immediate use  |  Cl-2  = Serviceable with minor issues (unit level repairable)  |  Cl-3  = Requires higher level inspection / limited use
Cl-4  = Sent to Workshop / EME for repair  |  Cl-5 &amp; Cl-6  = Condemned / Beyond economical repair / Declared unusable (awaiting board / disposal)
Held % = Held / Authorized.  Serviceable weapons for combat calculation = Cl-1 + Cl-2 primarily.</t>
  </si>
  <si>
    <t xml:space="preserve">CRITICAL EQUIPMENT STATE (NIGHT VISION, OBSERVATION &amp; TARGETING)</t>
  </si>
  <si>
    <t xml:space="preserve">Equipment Type</t>
  </si>
  <si>
    <t xml:space="preserve">Unserviceable</t>
  </si>
  <si>
    <t xml:space="preserve">AN/PVS-4A (Weapon Sight)</t>
  </si>
  <si>
    <t xml:space="preserve">AN/PVS-5A (Goggles)</t>
  </si>
  <si>
    <t xml:space="preserve">AN/PVS-7D (Goggles)</t>
  </si>
  <si>
    <t xml:space="preserve">TWS (Thermal Weapon Sight)</t>
  </si>
  <si>
    <t xml:space="preserve">LRF (Laser Range Finder)</t>
  </si>
  <si>
    <t xml:space="preserve">NS-685 / Night Sight</t>
  </si>
  <si>
    <t xml:space="preserve">Binoculars (Day)</t>
  </si>
  <si>
    <t xml:space="preserve">Compass (Prismatic / Lensatic)</t>
  </si>
  <si>
    <t xml:space="preserve">GPS Handheld / Vehicle</t>
  </si>
  <si>
    <t xml:space="preserve">TOTAL CRITICAL EQUIPMENT</t>
  </si>
  <si>
    <t xml:space="preserve">Note: Night Vision Devices and Thermal sights are critical for night operations and mechanized combat. Priority for repair / replacement of unserviceable items is high.</t>
  </si>
  <si>
    <t xml:space="preserve">SIGNALS EQUIPMENT STATE</t>
  </si>
  <si>
    <t xml:space="preserve">Unserviceable / WS</t>
  </si>
  <si>
    <t xml:space="preserve">SDR Sets (Software Defined Radio)</t>
  </si>
  <si>
    <t xml:space="preserve">ICom Handheld / Base</t>
  </si>
  <si>
    <t xml:space="preserve">LMR (Land Mobile Radio) Sets</t>
  </si>
  <si>
    <t xml:space="preserve">HF Sets – Manpack</t>
  </si>
  <si>
    <t xml:space="preserve">HF Sets – Vehicular</t>
  </si>
  <si>
    <t xml:space="preserve">TOTAL SIGNALS EQUIPMENT</t>
  </si>
  <si>
    <t xml:space="preserve">Note: SDR and HF sets are critical for command &amp; control in mechanized operations. Regular frequency of battery and antenna checks is mandated.</t>
  </si>
  <si>
    <t xml:space="preserve">AMMUNITION STATE – AUTHORIZED vs HELD</t>
  </si>
  <si>
    <t xml:space="preserve">XX Mech Inf Bn  |  As on 13 Aug 2026  |  Figures in rounds / units</t>
  </si>
  <si>
    <t xml:space="preserve">SMALL ARMS AMMUNITION</t>
  </si>
  <si>
    <t xml:space="preserve">Ammunition Type</t>
  </si>
  <si>
    <t xml:space="preserve">First Line</t>
  </si>
  <si>
    <t xml:space="preserve">Second Line / Reserve</t>
  </si>
  <si>
    <t xml:space="preserve">7.62 mm Ball (G3 / LMG)</t>
  </si>
  <si>
    <t xml:space="preserve">7.62 mm Tracer</t>
  </si>
  <si>
    <t xml:space="preserve">9 mm Ball (SMG / Pistol)</t>
  </si>
  <si>
    <t xml:space="preserve">12.7 mm Ball / API</t>
  </si>
  <si>
    <t xml:space="preserve">HEAVY WEAPONS, MORTARS, AT &amp; GRENADES</t>
  </si>
  <si>
    <t xml:space="preserve">RPG-7 HEAT / HE</t>
  </si>
  <si>
    <t xml:space="preserve">60 mm Mortar HE / Smoke</t>
  </si>
  <si>
    <t xml:space="preserve">81 mm Mortar HE / Illum / Smoke</t>
  </si>
  <si>
    <t xml:space="preserve">ATGM Missiles</t>
  </si>
  <si>
    <t xml:space="preserve">Hand Grenade HE</t>
  </si>
  <si>
    <t xml:space="preserve">Smoke Grenade</t>
  </si>
  <si>
    <t xml:space="preserve">Note: First Line = ammunition held with troops / vehicles for immediate use. Second Line = unit reserve held in Ammo Dump. All figures are approximate and for planning purposes only. Actual holdings subject to verification by Ammo NCO &amp; QM.</t>
  </si>
  <si>
    <t xml:space="preserve">POL STATE (PETROLEUM, OIL &amp; LUBRICANTS)</t>
  </si>
  <si>
    <t xml:space="preserve">XX Mech Inf Bn  |  As on 13 Aug 2026  |  Quantities in Litres</t>
  </si>
  <si>
    <t xml:space="preserve">Held Quantity (Litres)</t>
  </si>
  <si>
    <t xml:space="preserve">Authorized / Entitlement</t>
  </si>
  <si>
    <t xml:space="preserve">Balance / Deficiency</t>
  </si>
  <si>
    <t xml:space="preserve">Adm POL (Administrative / Routine)</t>
  </si>
  <si>
    <t xml:space="preserve">Daily running, MT, generators</t>
  </si>
  <si>
    <t xml:space="preserve">Training POL</t>
  </si>
  <si>
    <t xml:space="preserve">Range practices, FTXs, driver trg</t>
  </si>
  <si>
    <t xml:space="preserve">IS POL (Internal Security / Ops)</t>
  </si>
  <si>
    <t xml:space="preserve">Reserved for contingencies / ops</t>
  </si>
  <si>
    <t xml:space="preserve">TOTAL POL HELD</t>
  </si>
  <si>
    <t xml:space="preserve">NOTES:
• Adm POL – for routine administration, transport of troops, generators and unit running.
• Training POL – specifically allocated for field training exercises, range practices and driver training.
• IS POL – earmarked for internal security duties or operational contingencies; not to be used for routine purposes without approval.
• All quantities subject to verification by POL NCO and monthly stock check by QM.</t>
  </si>
  <si>
    <t xml:space="preserve">REMAINING AUDIT OBJECTIONS</t>
  </si>
  <si>
    <t xml:space="preserve">No. of Objections</t>
  </si>
  <si>
    <t xml:space="preserve">Oldest Pending Since</t>
  </si>
  <si>
    <t xml:space="preserve">Amount Involved (PKR)</t>
  </si>
  <si>
    <t xml:space="preserve">Action Status</t>
  </si>
  <si>
    <t xml:space="preserve">Cat A (Serious / Financial)</t>
  </si>
  <si>
    <t xml:space="preserve">Mar 2024</t>
  </si>
  <si>
    <t xml:space="preserve">Reply submitted; awaiting DAO</t>
  </si>
  <si>
    <t xml:space="preserve">Loss of stores / write-off cases</t>
  </si>
  <si>
    <t xml:space="preserve">Cat B (Procedural / Documentation)</t>
  </si>
  <si>
    <t xml:space="preserve">Aug 2024</t>
  </si>
  <si>
    <t xml:space="preserve">Under process at unit</t>
  </si>
  <si>
    <t xml:space="preserve">Missing vouchers, late returns</t>
  </si>
  <si>
    <t xml:space="preserve">Cat C (Minor / Observation)</t>
  </si>
  <si>
    <t xml:space="preserve">Jan 2025</t>
  </si>
  <si>
    <t xml:space="preserve">Mostly cleared; 4 pending</t>
  </si>
  <si>
    <t xml:space="preserve">Minor discrepancies, formalities</t>
  </si>
  <si>
    <t xml:space="preserve">TOTAL REMAINING</t>
  </si>
  <si>
    <t xml:space="preserve">Note: Cat A objections require priority attention of CO / 2IC. Regular liaison with DAO / LAO is maintained. Target is to clear all Cat A &amp; B before next annual audit.</t>
  </si>
  <si>
    <t xml:space="preserve">UPCOMING MAJOR EVENTS / TRAINING CALENDAR</t>
  </si>
  <si>
    <t xml:space="preserve">Event / Activity</t>
  </si>
  <si>
    <t xml:space="preserve">Type</t>
  </si>
  <si>
    <t xml:space="preserve">Dates</t>
  </si>
  <si>
    <t xml:space="preserve">Location / Venue</t>
  </si>
  <si>
    <t xml:space="preserve">Key Participants</t>
  </si>
  <si>
    <t xml:space="preserve">Remarks / Prep Status</t>
  </si>
  <si>
    <t xml:space="preserve">Annual Range Classification (Rifle &amp; LMG)</t>
  </si>
  <si>
    <t xml:space="preserve">Training</t>
  </si>
  <si>
    <t xml:space="preserve">18-25 Aug 2026</t>
  </si>
  <si>
    <t xml:space="preserve">Unit Firing Range</t>
  </si>
  <si>
    <t xml:space="preserve">All coys + HQ</t>
  </si>
  <si>
    <t xml:space="preserve">Ammo indented; range cleared</t>
  </si>
  <si>
    <t xml:space="preserve">Company Level FTX (Day/Night)</t>
  </si>
  <si>
    <t xml:space="preserve">Field Ex</t>
  </si>
  <si>
    <t xml:space="preserve">02-06 Sep 2026</t>
  </si>
  <si>
    <t xml:space="preserve">Training Area Alpha</t>
  </si>
  <si>
    <t xml:space="preserve">A &amp; B Coy</t>
  </si>
  <si>
    <t xml:space="preserve">Orders issued; recce done</t>
  </si>
  <si>
    <t xml:space="preserve">Inter-Coy Sports Competition</t>
  </si>
  <si>
    <t xml:space="preserve">Sports</t>
  </si>
  <si>
    <t xml:space="preserve">12-15 Sep 2026</t>
  </si>
  <si>
    <t xml:space="preserve">Unit Sports Ground</t>
  </si>
  <si>
    <t xml:space="preserve">All ranks</t>
  </si>
  <si>
    <t xml:space="preserve">Fixtures under prep</t>
  </si>
  <si>
    <t xml:space="preserve">Study Period – Modern Battlefield &amp; Drones</t>
  </si>
  <si>
    <t xml:space="preserve">Study Period</t>
  </si>
  <si>
    <t xml:space="preserve">20 Sep 2026</t>
  </si>
  <si>
    <t xml:space="preserve">Unit Conference Hall</t>
  </si>
  <si>
    <t xml:space="preserve">Offrs + JCOs</t>
  </si>
  <si>
    <t xml:space="preserve">Presentation ready</t>
  </si>
  <si>
    <t xml:space="preserve">Monthly Maintenance Day (MD)</t>
  </si>
  <si>
    <t xml:space="preserve">MD</t>
  </si>
  <si>
    <t xml:space="preserve">28 Aug 2026</t>
  </si>
  <si>
    <t xml:space="preserve">Unit Lines / MT Park</t>
  </si>
  <si>
    <t xml:space="preserve">All depts</t>
  </si>
  <si>
    <t xml:space="preserve">Routine + vehicle focus</t>
  </si>
  <si>
    <t xml:space="preserve">Bde Cdr's Inspection (Administrative)</t>
  </si>
  <si>
    <t xml:space="preserve">Inspection</t>
  </si>
  <si>
    <t xml:space="preserve">05-06 Oct 2026</t>
  </si>
  <si>
    <t xml:space="preserve">Unit Area</t>
  </si>
  <si>
    <t xml:space="preserve">Whole unit</t>
  </si>
  <si>
    <t xml:space="preserve">Checklists issued; polish ongoing</t>
  </si>
  <si>
    <t xml:space="preserve">Battalion Level Field Exercise (Ex MECH STRIKE)</t>
  </si>
  <si>
    <t xml:space="preserve">18-25 Oct 2026</t>
  </si>
  <si>
    <t xml:space="preserve">Corps Training Area</t>
  </si>
  <si>
    <t xml:space="preserve">Complete Bn less rear</t>
  </si>
  <si>
    <t xml:space="preserve">Planning stage; TEs scheduled</t>
  </si>
  <si>
    <t xml:space="preserve">Retirees / ESM Interaction &amp; Welfare Day</t>
  </si>
  <si>
    <t xml:space="preserve">Welfare</t>
  </si>
  <si>
    <t xml:space="preserve">10 Nov 2026</t>
  </si>
  <si>
    <t xml:space="preserve">Unit Auditorium</t>
  </si>
  <si>
    <t xml:space="preserve">ESM + families</t>
  </si>
  <si>
    <t xml:space="preserve">Coordination with District</t>
  </si>
  <si>
    <t xml:space="preserve">Annual Technical Inspection (ATI) – Weapons &amp; Vehs</t>
  </si>
  <si>
    <t xml:space="preserve">15-20 Nov 2026</t>
  </si>
  <si>
    <t xml:space="preserve">Unit + EME</t>
  </si>
  <si>
    <t xml:space="preserve">QM, MTO, Coy CQs</t>
  </si>
  <si>
    <t xml:space="preserve">Advance notice received</t>
  </si>
  <si>
    <t xml:space="preserve">Promotion Cadre (Nk to Hav)</t>
  </si>
  <si>
    <t xml:space="preserve">01-15 Dec 2026</t>
  </si>
  <si>
    <t xml:space="preserve">Unit Training Wing</t>
  </si>
  <si>
    <t xml:space="preserve">Selected NCOs</t>
  </si>
  <si>
    <t xml:space="preserve">Nominal roll under finalization</t>
  </si>
  <si>
    <t xml:space="preserve">Note: Calendar is dynamic. Changes in higher HQ schedule may affect dates. All training events to be reflected in Weekly Training Programme. CO's approval required for any major change.</t>
  </si>
  <si>
    <t xml:space="preserve">PROMOTION TIMELINES &amp; VACANCY STATE – OTHER RANKS</t>
  </si>
  <si>
    <t xml:space="preserve">Rank</t>
  </si>
  <si>
    <t xml:space="preserve">Held Strength</t>
  </si>
  <si>
    <t xml:space="preserve">Course Qualified</t>
  </si>
  <si>
    <t xml:space="preserve">Cadre Qualified</t>
  </si>
  <si>
    <t xml:space="preserve">Eligible for Next Rank</t>
  </si>
  <si>
    <t xml:space="preserve">Vacancies in Next Rank</t>
  </si>
  <si>
    <t xml:space="preserve">Promotion / Priority</t>
  </si>
  <si>
    <t xml:space="preserve">Likely Board / Date</t>
  </si>
  <si>
    <t xml:space="preserve">Sepoy (Sep)</t>
  </si>
  <si>
    <t xml:space="preserve">High – seniority + courses</t>
  </si>
  <si>
    <t xml:space="preserve">Sep 2026</t>
  </si>
  <si>
    <t xml:space="preserve">Main feeder for L/Nk</t>
  </si>
  <si>
    <t xml:space="preserve">Lance Naik (L/Nk)</t>
  </si>
  <si>
    <t xml:space="preserve">Medium-High</t>
  </si>
  <si>
    <t xml:space="preserve">Oct 2026</t>
  </si>
  <si>
    <t xml:space="preserve">Good cadre pass rate</t>
  </si>
  <si>
    <t xml:space="preserve">Naik (Nk)</t>
  </si>
  <si>
    <t xml:space="preserve">Medium</t>
  </si>
  <si>
    <t xml:space="preserve">Nov 2026</t>
  </si>
  <si>
    <t xml:space="preserve">Vacancies limited</t>
  </si>
  <si>
    <t xml:space="preserve">Havildar (Hav)</t>
  </si>
  <si>
    <t xml:space="preserve">Selective</t>
  </si>
  <si>
    <t xml:space="preserve">Dec 2026 / Jan 2027</t>
  </si>
  <si>
    <t xml:space="preserve">JC course critical</t>
  </si>
  <si>
    <t xml:space="preserve">Naib Subedar (Nb Sub)</t>
  </si>
  <si>
    <t xml:space="preserve">High selectivity</t>
  </si>
  <si>
    <t xml:space="preserve">Q1 2027</t>
  </si>
  <si>
    <t xml:space="preserve">Limited vacancies</t>
  </si>
  <si>
    <t xml:space="preserve">Subedar (Sub)</t>
  </si>
  <si>
    <t xml:space="preserve">Very selective</t>
  </si>
  <si>
    <t xml:space="preserve">Mid 2027</t>
  </si>
  <si>
    <t xml:space="preserve">Senior most JCOs</t>
  </si>
  <si>
    <t xml:space="preserve">TOTAL OR (Approx)</t>
  </si>
  <si>
    <t xml:space="preserve">NOTES:
• Eligible = Course + Cadre qualified + minimum service + ACR criteria met (illustrative numbers).
• Vacancies are current estimated openings in the next higher rank within the unit / Corps promotion roster.
• Actual promotion is subject to Corps / Army Promotion Boards, vacancies, and inter-se seniority.
• Highlighted green = numbers ready for consideration; yellow = available slots.</t>
  </si>
  <si>
    <t xml:space="preserve">OFFICERS – KEY APPOINTMENTS &amp; ADDITIONAL TASKS</t>
  </si>
  <si>
    <t xml:space="preserve">Appointment</t>
  </si>
  <si>
    <t xml:space="preserve">Rank &amp; Name</t>
  </si>
  <si>
    <t xml:space="preserve">Army No.</t>
  </si>
  <si>
    <t xml:space="preserve">Duration in Appt</t>
  </si>
  <si>
    <t xml:space="preserve">Additional Tasks / Responsibilities</t>
  </si>
  <si>
    <t xml:space="preserve">Contact (Ext)</t>
  </si>
  <si>
    <t xml:space="preserve">Commanding Officer</t>
  </si>
  <si>
    <t xml:space="preserve">Lt Col Ahmed Raza Khan</t>
  </si>
  <si>
    <t xml:space="preserve">PA-28456</t>
  </si>
  <si>
    <t xml:space="preserve">1 yr 4 mo</t>
  </si>
  <si>
    <t xml:space="preserve">Overall comd, training &amp; discipline</t>
  </si>
  <si>
    <t xml:space="preserve">201</t>
  </si>
  <si>
    <t xml:space="preserve">CO</t>
  </si>
  <si>
    <t xml:space="preserve">Second-in-Command (2IC)</t>
  </si>
  <si>
    <t xml:space="preserve">Maj Muhammad Bilal Siddiqui</t>
  </si>
  <si>
    <t xml:space="preserve">PA-31201</t>
  </si>
  <si>
    <t xml:space="preserve">11 mo</t>
  </si>
  <si>
    <t xml:space="preserve">Admin, welfare, audit objections, leave</t>
  </si>
  <si>
    <t xml:space="preserve">202</t>
  </si>
  <si>
    <t xml:space="preserve">Acts as CO in absence</t>
  </si>
  <si>
    <t xml:space="preserve">Adjutant</t>
  </si>
  <si>
    <t xml:space="preserve">Capt Usman Ghani</t>
  </si>
  <si>
    <t xml:space="preserve">PA-34567</t>
  </si>
  <si>
    <t xml:space="preserve">8 mo</t>
  </si>
  <si>
    <t xml:space="preserve">Discipline, documentation, courts, MS</t>
  </si>
  <si>
    <t xml:space="preserve">203</t>
  </si>
  <si>
    <t xml:space="preserve">Also Security Offr</t>
  </si>
  <si>
    <t xml:space="preserve">Quartermaster (QM)</t>
  </si>
  <si>
    <t xml:space="preserve">Capt Fahad Ali Qureshi</t>
  </si>
  <si>
    <t xml:space="preserve">PA-35102</t>
  </si>
  <si>
    <t xml:space="preserve">1 yr 1 mo</t>
  </si>
  <si>
    <t xml:space="preserve">Clothing, rations, FOL, stores, audit</t>
  </si>
  <si>
    <t xml:space="preserve">204</t>
  </si>
  <si>
    <t xml:space="preserve">QM</t>
  </si>
  <si>
    <t xml:space="preserve">MTO (Mechanical Transport Offr)</t>
  </si>
  <si>
    <t xml:space="preserve">Capt Imran Shah</t>
  </si>
  <si>
    <t xml:space="preserve">PA-34890</t>
  </si>
  <si>
    <t xml:space="preserve">7 mo</t>
  </si>
  <si>
    <t xml:space="preserve">All MT, POL, recovery, driver trg</t>
  </si>
  <si>
    <t xml:space="preserve">205</t>
  </si>
  <si>
    <t xml:space="preserve">MT Park in-charge</t>
  </si>
  <si>
    <t xml:space="preserve">Coy Comd – A Coy</t>
  </si>
  <si>
    <t xml:space="preserve">Maj Hassan Raza</t>
  </si>
  <si>
    <t xml:space="preserve">PA-32110</t>
  </si>
  <si>
    <t xml:space="preserve">1 yr 2 mo</t>
  </si>
  <si>
    <t xml:space="preserve">A Coy training &amp; admin; Range Offr</t>
  </si>
  <si>
    <t xml:space="preserve">211</t>
  </si>
  <si>
    <t xml:space="preserve">Senior Coy Comd</t>
  </si>
  <si>
    <t xml:space="preserve">Coy Comd – B Coy</t>
  </si>
  <si>
    <t xml:space="preserve">Capt Zain Ul Abideen</t>
  </si>
  <si>
    <t xml:space="preserve">PA-35678</t>
  </si>
  <si>
    <t xml:space="preserve">9 mo</t>
  </si>
  <si>
    <t xml:space="preserve">B Coy; Sports Offr</t>
  </si>
  <si>
    <t xml:space="preserve">212</t>
  </si>
  <si>
    <t xml:space="preserve">Coy Comd – C Coy</t>
  </si>
  <si>
    <t xml:space="preserve">Capt Omar Farooq</t>
  </si>
  <si>
    <t xml:space="preserve">PA-36201</t>
  </si>
  <si>
    <t xml:space="preserve">6 mo</t>
  </si>
  <si>
    <t xml:space="preserve">C Coy; Education Offr</t>
  </si>
  <si>
    <t xml:space="preserve">213</t>
  </si>
  <si>
    <t xml:space="preserve">Coy Comd – D Coy (Sp)</t>
  </si>
  <si>
    <t xml:space="preserve">Capt Saadullah Khan</t>
  </si>
  <si>
    <t xml:space="preserve">PA-35900</t>
  </si>
  <si>
    <t xml:space="preserve">10 mo</t>
  </si>
  <si>
    <t xml:space="preserve">Sp Coy (Mortars/AT); Mess Secy</t>
  </si>
  <si>
    <t xml:space="preserve">214</t>
  </si>
  <si>
    <t xml:space="preserve">Sp weapons</t>
  </si>
  <si>
    <t xml:space="preserve">IS / Intelligence Offr</t>
  </si>
  <si>
    <t xml:space="preserve">Capt Ali Haider</t>
  </si>
  <si>
    <t xml:space="preserve">PA-36789</t>
  </si>
  <si>
    <t xml:space="preserve">5 mo</t>
  </si>
  <si>
    <t xml:space="preserve">Int, security, map, briefing</t>
  </si>
  <si>
    <t xml:space="preserve">206</t>
  </si>
  <si>
    <t xml:space="preserve">Also Media / PR</t>
  </si>
  <si>
    <t xml:space="preserve">Training Officer</t>
  </si>
  <si>
    <t xml:space="preserve">Capt Naveed Akhtar</t>
  </si>
  <si>
    <t xml:space="preserve">PA-35555</t>
  </si>
  <si>
    <t xml:space="preserve">4 mo</t>
  </si>
  <si>
    <t xml:space="preserve">Weekly trg programme, cadres, courses</t>
  </si>
  <si>
    <t xml:space="preserve">207</t>
  </si>
  <si>
    <t xml:space="preserve">Under 2IC</t>
  </si>
  <si>
    <t xml:space="preserve">Note: Durations are approximate from date of assumption of appointment. Additional tasks are current and may be rotated. All officers are also responsible for the professional development of their subordinates.</t>
  </si>
  <si>
    <t xml:space="preserve">KEY APPOINTMENTS – JCOs &amp; NCOs</t>
  </si>
  <si>
    <t xml:space="preserve">Company / Dept</t>
  </si>
  <si>
    <t xml:space="preserve">Duration</t>
  </si>
  <si>
    <t xml:space="preserve">Additional Responsibility</t>
  </si>
  <si>
    <t xml:space="preserve">BHM (Bn Havildar Major)</t>
  </si>
  <si>
    <t xml:space="preserve">Hav Maj Ghulam Mustafa</t>
  </si>
  <si>
    <t xml:space="preserve">1234567</t>
  </si>
  <si>
    <t xml:space="preserve">Bn HQ</t>
  </si>
  <si>
    <t xml:space="preserve">1 yr 6 mo</t>
  </si>
  <si>
    <t xml:space="preserve">Parade, discipline, NCOs</t>
  </si>
  <si>
    <t xml:space="preserve">Senior most Hav</t>
  </si>
  <si>
    <t xml:space="preserve">CHMS (Coy Hav Maj – HQ)</t>
  </si>
  <si>
    <t xml:space="preserve">Hav Maj Abdul Sattar</t>
  </si>
  <si>
    <t xml:space="preserve">1345678</t>
  </si>
  <si>
    <t xml:space="preserve">HQ Coy</t>
  </si>
  <si>
    <t xml:space="preserve">HQ Coy admin</t>
  </si>
  <si>
    <t xml:space="preserve">JA (Jemadar Adjutant)</t>
  </si>
  <si>
    <t xml:space="preserve">Nb Sub Muhammad Ashraf</t>
  </si>
  <si>
    <t xml:space="preserve">1456789</t>
  </si>
  <si>
    <t xml:space="preserve">Assists Adjt; documentation</t>
  </si>
  <si>
    <t xml:space="preserve">JCO</t>
  </si>
  <si>
    <t xml:space="preserve">MT JCO</t>
  </si>
  <si>
    <t xml:space="preserve">Nb Sub Tariq Mehmood</t>
  </si>
  <si>
    <t xml:space="preserve">1567890</t>
  </si>
  <si>
    <t xml:space="preserve">MT Sec</t>
  </si>
  <si>
    <t xml:space="preserve">MT Park, recovery, POL coordination</t>
  </si>
  <si>
    <t xml:space="preserve">MT Hav</t>
  </si>
  <si>
    <t xml:space="preserve">Hav Khalid Hussain</t>
  </si>
  <si>
    <t xml:space="preserve">1678901</t>
  </si>
  <si>
    <t xml:space="preserve">1 yr</t>
  </si>
  <si>
    <t xml:space="preserve">Daily MT parade, docs</t>
  </si>
  <si>
    <t xml:space="preserve">RP Hav (Regimental Police)</t>
  </si>
  <si>
    <t xml:space="preserve">Hav Imtiaz Ahmed</t>
  </si>
  <si>
    <t xml:space="preserve">1789012</t>
  </si>
  <si>
    <t xml:space="preserve">Gate, security, RP staff</t>
  </si>
  <si>
    <t xml:space="preserve">Mess Hav</t>
  </si>
  <si>
    <t xml:space="preserve">Hav Nasir Ali</t>
  </si>
  <si>
    <t xml:space="preserve">1890123</t>
  </si>
  <si>
    <t xml:space="preserve">Offrs Mess</t>
  </si>
  <si>
    <t xml:space="preserve">1 yr 3 mo</t>
  </si>
  <si>
    <t xml:space="preserve">Mess staff, inventory</t>
  </si>
  <si>
    <t xml:space="preserve">Adm NCO</t>
  </si>
  <si>
    <t xml:space="preserve">Nk Shahid Iqbal</t>
  </si>
  <si>
    <t xml:space="preserve">1901234</t>
  </si>
  <si>
    <t xml:space="preserve">Leave, ration strength, returns</t>
  </si>
  <si>
    <t xml:space="preserve">POL NCO</t>
  </si>
  <si>
    <t xml:space="preserve">Nk Muhammad Javed</t>
  </si>
  <si>
    <t xml:space="preserve">2012345</t>
  </si>
  <si>
    <t xml:space="preserve">MT / QM</t>
  </si>
  <si>
    <t xml:space="preserve">POL accounting, issue</t>
  </si>
  <si>
    <t xml:space="preserve">Ammo NCO</t>
  </si>
  <si>
    <t xml:space="preserve">Nk Ghulam Rasool</t>
  </si>
  <si>
    <t xml:space="preserve">2123456</t>
  </si>
  <si>
    <t xml:space="preserve">Ammo dump, ledgers, issues</t>
  </si>
  <si>
    <t xml:space="preserve">CQ – A Coy</t>
  </si>
  <si>
    <t xml:space="preserve">Hav Muhammad Rafique</t>
  </si>
  <si>
    <t xml:space="preserve">2234567</t>
  </si>
  <si>
    <t xml:space="preserve">A Coy</t>
  </si>
  <si>
    <t xml:space="preserve">Coy stores, weapons, clothing</t>
  </si>
  <si>
    <t xml:space="preserve">CQ – B Coy</t>
  </si>
  <si>
    <t xml:space="preserve">Hav Abdul Qayyum</t>
  </si>
  <si>
    <t xml:space="preserve">2345678</t>
  </si>
  <si>
    <t xml:space="preserve">B Coy</t>
  </si>
  <si>
    <t xml:space="preserve">CQ – C Coy</t>
  </si>
  <si>
    <t xml:space="preserve">Hav Pervaiz Akhtar</t>
  </si>
  <si>
    <t xml:space="preserve">2456789</t>
  </si>
  <si>
    <t xml:space="preserve">C Coy</t>
  </si>
  <si>
    <t xml:space="preserve">CQ – D / Sp Coy</t>
  </si>
  <si>
    <t xml:space="preserve">Hav Muhammad Aslam</t>
  </si>
  <si>
    <t xml:space="preserve">2567890</t>
  </si>
  <si>
    <t xml:space="preserve">D Coy</t>
  </si>
  <si>
    <t xml:space="preserve">Sp weapons &amp; ammo</t>
  </si>
  <si>
    <t xml:space="preserve">Kote NCO – A Coy</t>
  </si>
  <si>
    <t xml:space="preserve">L/Nk Muhammad Yousaf</t>
  </si>
  <si>
    <t xml:space="preserve">2678901</t>
  </si>
  <si>
    <t xml:space="preserve">Armoury daily check</t>
  </si>
  <si>
    <t xml:space="preserve">Kote NCO – B Coy</t>
  </si>
  <si>
    <t xml:space="preserve">L/Nk Sajid Mehmood</t>
  </si>
  <si>
    <t xml:space="preserve">2789012</t>
  </si>
  <si>
    <t xml:space="preserve">Kote NCO – C Coy</t>
  </si>
  <si>
    <t xml:space="preserve">L/Nk Zahid Hussain</t>
  </si>
  <si>
    <t xml:space="preserve">2890123</t>
  </si>
  <si>
    <t xml:space="preserve">Kote NCO – D Coy</t>
  </si>
  <si>
    <t xml:space="preserve">Nk Muhammad Nawaz</t>
  </si>
  <si>
    <t xml:space="preserve">2901234</t>
  </si>
  <si>
    <t xml:space="preserve">Armoury + Sp weapons</t>
  </si>
  <si>
    <t xml:space="preserve">SJCO – A Coy (Subedar)</t>
  </si>
  <si>
    <t xml:space="preserve">Subedar Muhammad Hanif</t>
  </si>
  <si>
    <t xml:space="preserve">3012345</t>
  </si>
  <si>
    <t xml:space="preserve">1 yr 8 mo</t>
  </si>
  <si>
    <t xml:space="preserve">Coy 2IC / senior JCO</t>
  </si>
  <si>
    <t xml:space="preserve">Senior JCO</t>
  </si>
  <si>
    <t xml:space="preserve">SJCO – B Coy</t>
  </si>
  <si>
    <t xml:space="preserve">Subedar Abdul Majid</t>
  </si>
  <si>
    <t xml:space="preserve">3123456</t>
  </si>
  <si>
    <t xml:space="preserve">SJCO – C Coy</t>
  </si>
  <si>
    <t xml:space="preserve">Nb Sub (offg) Riaz Ahmed</t>
  </si>
  <si>
    <t xml:space="preserve">3234567</t>
  </si>
  <si>
    <t xml:space="preserve">Acting SJCO</t>
  </si>
  <si>
    <t xml:space="preserve">Nb Sub officiating</t>
  </si>
  <si>
    <t xml:space="preserve">SJCO – D / Sp Coy</t>
  </si>
  <si>
    <t xml:space="preserve">Subedar Ghulam Farid</t>
  </si>
  <si>
    <t xml:space="preserve">3345678</t>
  </si>
  <si>
    <t xml:space="preserve">2 yr</t>
  </si>
  <si>
    <t xml:space="preserve">Sp Coy senior JCO</t>
  </si>
  <si>
    <t xml:space="preserve">Longest serving</t>
  </si>
  <si>
    <t xml:space="preserve">Note: BHM, JA, MT JCO, CQs and SJCOs are critical for unit functioning. Regular rotation and succession planning is maintained. All Kote NCOs report daily weapon state to Coy CQs and QM.</t>
  </si>
  <si>
    <t xml:space="preserve">INDIVIDUAL SOLDIERS – BASIC DATA (ILLUSTRATIVE SAMPLE – 30 PERSONNEL)</t>
  </si>
  <si>
    <t xml:space="preserve">XX Mech Inf Bn  |  Sample only – not complete nominal roll  |  As on 13 Aug 2026</t>
  </si>
  <si>
    <t xml:space="preserve">Name</t>
  </si>
  <si>
    <t xml:space="preserve">Coy</t>
  </si>
  <si>
    <t xml:space="preserve">Residential Address (Distt)</t>
  </si>
  <si>
    <t xml:space="preserve">Civil Education</t>
  </si>
  <si>
    <t xml:space="preserve">Mil Courses &amp; Grades</t>
  </si>
  <si>
    <t xml:space="preserve">Service (Yrs)</t>
  </si>
  <si>
    <t xml:space="preserve">Discipline / Red Ink</t>
  </si>
  <si>
    <t xml:space="preserve">Past Employment</t>
  </si>
  <si>
    <t xml:space="preserve">1877572</t>
  </si>
  <si>
    <t xml:space="preserve">Sep</t>
  </si>
  <si>
    <t xml:space="preserve">Omar Khan</t>
  </si>
  <si>
    <t xml:space="preserve">Hyderabad</t>
  </si>
  <si>
    <t xml:space="preserve">FA / FSc</t>
  </si>
  <si>
    <t xml:space="preserve">BC (B), Signaller (A)</t>
  </si>
  <si>
    <t xml:space="preserve">Nil</t>
  </si>
  <si>
    <t xml:space="preserve">1542417</t>
  </si>
  <si>
    <t xml:space="preserve">Usman Baig</t>
  </si>
  <si>
    <t xml:space="preserve">Karachi</t>
  </si>
  <si>
    <t xml:space="preserve">Matric</t>
  </si>
  <si>
    <t xml:space="preserve">BC (B+)</t>
  </si>
  <si>
    <t xml:space="preserve">1 x Minor (2023)</t>
  </si>
  <si>
    <t xml:space="preserve">Nil (Fresh)</t>
  </si>
  <si>
    <t xml:space="preserve">Under observation</t>
  </si>
  <si>
    <t xml:space="preserve">1781453</t>
  </si>
  <si>
    <t xml:space="preserve">Naveed Kazmi</t>
  </si>
  <si>
    <t xml:space="preserve">Abbottabad</t>
  </si>
  <si>
    <t xml:space="preserve">JC (A), AT (B)</t>
  </si>
  <si>
    <t xml:space="preserve">Warning (2024)</t>
  </si>
  <si>
    <t xml:space="preserve">1543143</t>
  </si>
  <si>
    <t xml:space="preserve">Imran Kazmi</t>
  </si>
  <si>
    <t xml:space="preserve">Sialkot</t>
  </si>
  <si>
    <t xml:space="preserve">Shop Assistant</t>
  </si>
  <si>
    <t xml:space="preserve">1201414</t>
  </si>
  <si>
    <t xml:space="preserve">Usman Rajput</t>
  </si>
  <si>
    <t xml:space="preserve">Sargodha</t>
  </si>
  <si>
    <t xml:space="preserve">Middle</t>
  </si>
  <si>
    <t xml:space="preserve">JC (B), Cadre Nk (A)</t>
  </si>
  <si>
    <t xml:space="preserve">Mechanic</t>
  </si>
  <si>
    <t xml:space="preserve">1496922</t>
  </si>
  <si>
    <t xml:space="preserve">Rasool Hussain</t>
  </si>
  <si>
    <t xml:space="preserve">Larkana</t>
  </si>
  <si>
    <t xml:space="preserve">BA / BSc</t>
  </si>
  <si>
    <t xml:space="preserve">JC (B+), Cadre Hav (B)</t>
  </si>
  <si>
    <t xml:space="preserve">Security Guard</t>
  </si>
  <si>
    <t xml:space="preserve">1172933</t>
  </si>
  <si>
    <t xml:space="preserve">BC (A), Driver (B)</t>
  </si>
  <si>
    <t xml:space="preserve">1575435</t>
  </si>
  <si>
    <t xml:space="preserve">Farid Sheikh</t>
  </si>
  <si>
    <t xml:space="preserve">Multan</t>
  </si>
  <si>
    <t xml:space="preserve">BC (A), LMG (B)</t>
  </si>
  <si>
    <t xml:space="preserve">1864544</t>
  </si>
  <si>
    <t xml:space="preserve">Imran Mirza</t>
  </si>
  <si>
    <t xml:space="preserve">Intermediate</t>
  </si>
  <si>
    <t xml:space="preserve">BC (B), Mortar (B+)</t>
  </si>
  <si>
    <t xml:space="preserve">1440035</t>
  </si>
  <si>
    <t xml:space="preserve">Javed Gillani</t>
  </si>
  <si>
    <t xml:space="preserve">Farmer</t>
  </si>
  <si>
    <t xml:space="preserve">1787277</t>
  </si>
  <si>
    <t xml:space="preserve">Nawaz Malik</t>
  </si>
  <si>
    <t xml:space="preserve">Mardan</t>
  </si>
  <si>
    <t xml:space="preserve">Matric + Diploma</t>
  </si>
  <si>
    <t xml:space="preserve">1883300</t>
  </si>
  <si>
    <t xml:space="preserve">Rasool Sheikh</t>
  </si>
  <si>
    <t xml:space="preserve">1892495</t>
  </si>
  <si>
    <t xml:space="preserve">L/Nk</t>
  </si>
  <si>
    <t xml:space="preserve">Abdul Ali</t>
  </si>
  <si>
    <t xml:space="preserve">Peshawar</t>
  </si>
  <si>
    <t xml:space="preserve">Electrician</t>
  </si>
  <si>
    <t xml:space="preserve">1500156</t>
  </si>
  <si>
    <t xml:space="preserve">Hussain Rajput</t>
  </si>
  <si>
    <t xml:space="preserve">Kohat</t>
  </si>
  <si>
    <t xml:space="preserve">1663054</t>
  </si>
  <si>
    <t xml:space="preserve">Omar Gillani</t>
  </si>
  <si>
    <t xml:space="preserve">Bahawalpur</t>
  </si>
  <si>
    <t xml:space="preserve">1898975</t>
  </si>
  <si>
    <t xml:space="preserve">Aslam Chaudhry</t>
  </si>
  <si>
    <t xml:space="preserve">Sukkur</t>
  </si>
  <si>
    <t xml:space="preserve">1492077</t>
  </si>
  <si>
    <t xml:space="preserve">Naveed Shah</t>
  </si>
  <si>
    <t xml:space="preserve">BC (B+), JC (B)</t>
  </si>
  <si>
    <t xml:space="preserve">1972064</t>
  </si>
  <si>
    <t xml:space="preserve">Omar Awan</t>
  </si>
  <si>
    <t xml:space="preserve">1897549</t>
  </si>
  <si>
    <t xml:space="preserve">Nk</t>
  </si>
  <si>
    <t xml:space="preserve">Quetta</t>
  </si>
  <si>
    <t xml:space="preserve">Driver (Civil)</t>
  </si>
  <si>
    <t xml:space="preserve">1736059</t>
  </si>
  <si>
    <t xml:space="preserve">Faisalabad</t>
  </si>
  <si>
    <t xml:space="preserve">BC (B), RP (A)</t>
  </si>
  <si>
    <t xml:space="preserve">Labour</t>
  </si>
  <si>
    <t xml:space="preserve">1781446</t>
  </si>
  <si>
    <t xml:space="preserve">Tariq Gillani</t>
  </si>
  <si>
    <t xml:space="preserve">1716886</t>
  </si>
  <si>
    <t xml:space="preserve">Hanif Khan</t>
  </si>
  <si>
    <t xml:space="preserve">1132938</t>
  </si>
  <si>
    <t xml:space="preserve">Javed Ali</t>
  </si>
  <si>
    <t xml:space="preserve">Rawalpindi</t>
  </si>
  <si>
    <t xml:space="preserve">1858490</t>
  </si>
  <si>
    <t xml:space="preserve">Hav</t>
  </si>
  <si>
    <t xml:space="preserve">Rasool Shah</t>
  </si>
  <si>
    <t xml:space="preserve">Mirpurkhas</t>
  </si>
  <si>
    <t xml:space="preserve">1201639</t>
  </si>
  <si>
    <t xml:space="preserve">Naveed Hussain</t>
  </si>
  <si>
    <t xml:space="preserve">1522179</t>
  </si>
  <si>
    <t xml:space="preserve">Bilal Ahmed</t>
  </si>
  <si>
    <t xml:space="preserve">1392075</t>
  </si>
  <si>
    <t xml:space="preserve">Imtiaz Raza</t>
  </si>
  <si>
    <t xml:space="preserve">1783823</t>
  </si>
  <si>
    <t xml:space="preserve">Nb Sub</t>
  </si>
  <si>
    <t xml:space="preserve">1161483</t>
  </si>
  <si>
    <t xml:space="preserve">Shahid Rajput</t>
  </si>
  <si>
    <t xml:space="preserve">1830429</t>
  </si>
  <si>
    <t xml:space="preserve">Sub</t>
  </si>
  <si>
    <t xml:space="preserve">Sajid Jutt</t>
  </si>
  <si>
    <t xml:space="preserve">Dera Ismail Khan</t>
  </si>
  <si>
    <t xml:space="preserve">Clerk (Private)</t>
  </si>
  <si>
    <t xml:space="preserve">DISCLAIMER: This is an ILLUSTRATIVE SAMPLE of 30 personnel only for demonstration of format and fields. It does not represent the actual nominal roll of any unit. Army numbers, names and personal data are fictitious. For a live unit state, the complete nominal roll would be maintained separately under Adjt / MS branch with appropriate security classification.</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</si>
</sst>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FFFFFF"/>
      <name val="Arial"/>
      <family val="0"/>
      <charset val="1"/>
    </font>
    <font>
      <b val="true"/>
      <sz val="11"/>
      <color rgb="FFFFFFFF"/>
      <name val="Arial"/>
      <family val="0"/>
      <charset val="1"/>
    </font>
    <font>
      <b val="true"/>
      <sz val="10"/>
      <name val="Arial"/>
      <family val="0"/>
      <charset val="1"/>
    </font>
    <font>
      <b val="true"/>
      <sz val="11"/>
      <name val="Arial"/>
      <family val="0"/>
      <charset val="1"/>
    </font>
    <font>
      <b val="true"/>
      <sz val="12"/>
      <color rgb="FF145A32"/>
      <name val="Arial"/>
      <family val="0"/>
      <charset val="1"/>
    </font>
    <font>
      <i val="true"/>
      <sz val="8"/>
      <color rgb="FF666666"/>
      <name val="Arial"/>
      <family val="0"/>
      <charset val="1"/>
    </font>
    <font>
      <sz val="10"/>
      <name val="Arial"/>
      <family val="0"/>
      <charset val="1"/>
    </font>
    <font>
      <sz val="9"/>
      <name val="Arial"/>
      <family val="0"/>
      <charset val="1"/>
    </font>
    <font>
      <i val="true"/>
      <sz val="9"/>
      <name val="Arial"/>
      <family val="0"/>
      <charset val="1"/>
    </font>
  </fonts>
  <fills count="13">
    <fill>
      <patternFill patternType="none"/>
    </fill>
    <fill>
      <patternFill patternType="gray125"/>
    </fill>
    <fill>
      <patternFill patternType="solid">
        <fgColor rgb="FF0B5345"/>
        <bgColor rgb="FF145A32"/>
      </patternFill>
    </fill>
    <fill>
      <patternFill patternType="solid">
        <fgColor rgb="FF1A5276"/>
        <bgColor rgb="FF1B4F72"/>
      </patternFill>
    </fill>
    <fill>
      <patternFill patternType="solid">
        <fgColor rgb="FF1E8449"/>
        <bgColor rgb="FF008080"/>
      </patternFill>
    </fill>
    <fill>
      <patternFill patternType="solid">
        <fgColor rgb="FF1B4F72"/>
        <bgColor rgb="FF1A5276"/>
      </patternFill>
    </fill>
    <fill>
      <patternFill patternType="solid">
        <fgColor rgb="FFFAD7A0"/>
        <bgColor rgb="FFFDEBD0"/>
      </patternFill>
    </fill>
    <fill>
      <patternFill patternType="solid">
        <fgColor rgb="FFD6EAF8"/>
        <bgColor rgb="FFD5F5E3"/>
      </patternFill>
    </fill>
    <fill>
      <patternFill patternType="solid">
        <fgColor rgb="FFFCF3CF"/>
        <bgColor rgb="FFFDEBD0"/>
      </patternFill>
    </fill>
    <fill>
      <patternFill patternType="solid">
        <fgColor rgb="FFD5F5E3"/>
        <bgColor rgb="FFD6EAF8"/>
      </patternFill>
    </fill>
    <fill>
      <patternFill patternType="solid">
        <fgColor rgb="FFF5B7B1"/>
        <bgColor rgb="FFFAD7A0"/>
      </patternFill>
    </fill>
    <fill>
      <patternFill patternType="solid">
        <fgColor rgb="FFF5B041"/>
        <bgColor rgb="FFFFCC00"/>
      </patternFill>
    </fill>
    <fill>
      <patternFill patternType="solid">
        <fgColor rgb="FFFDEBD0"/>
        <bgColor rgb="FFFCF3CF"/>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6" fillId="4" borderId="0"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true" indent="0" shrinkToFit="false"/>
      <protection locked="true" hidden="false"/>
    </xf>
    <xf numFmtId="166" fontId="0" fillId="0" borderId="1" xfId="0" applyFont="false" applyBorder="true" applyAlignment="true" applyProtection="false">
      <alignment horizontal="center" vertical="center" textRotation="0" wrapText="true" indent="0" shrinkToFit="false"/>
      <protection locked="true" hidden="false"/>
    </xf>
    <xf numFmtId="164" fontId="8" fillId="6" borderId="2"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5" fontId="9" fillId="6" borderId="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4" fontId="7" fillId="9" borderId="1" xfId="0" applyFont="true" applyBorder="true" applyAlignment="true" applyProtection="false">
      <alignment horizontal="left"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7" fillId="6"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7" fillId="10" borderId="1" xfId="0" applyFont="true" applyBorder="true" applyAlignment="false" applyProtection="false">
      <alignment horizontal="general" vertical="bottom" textRotation="0" wrapText="false" indent="0" shrinkToFit="false"/>
      <protection locked="true" hidden="false"/>
    </xf>
    <xf numFmtId="167" fontId="0" fillId="10" borderId="1" xfId="0" applyFont="false" applyBorder="true" applyAlignment="false" applyProtection="false">
      <alignment horizontal="general" vertical="bottom" textRotation="0" wrapText="false" indent="0" shrinkToFit="false"/>
      <protection locked="true" hidden="false"/>
    </xf>
    <xf numFmtId="165"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5" fontId="7" fillId="6" borderId="2" xfId="0" applyFont="true" applyBorder="true" applyAlignment="false" applyProtection="false">
      <alignment horizontal="general" vertical="bottom" textRotation="0" wrapText="false" indent="0" shrinkToFit="false"/>
      <protection locked="true" hidden="false"/>
    </xf>
    <xf numFmtId="164" fontId="7" fillId="11" borderId="2" xfId="0" applyFont="true" applyBorder="true" applyAlignment="false" applyProtection="false">
      <alignment horizontal="general" vertical="bottom" textRotation="0" wrapText="false" indent="0" shrinkToFit="false"/>
      <protection locked="true" hidden="false"/>
    </xf>
    <xf numFmtId="165" fontId="7" fillId="11" borderId="2" xfId="0" applyFont="true" applyBorder="true" applyAlignment="fals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true" indent="0" shrinkToFit="false"/>
      <protection locked="true" hidden="false"/>
    </xf>
    <xf numFmtId="168" fontId="7" fillId="6" borderId="2" xfId="0" applyFont="tru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center" vertical="center" textRotation="0" wrapText="true" indent="0" shrinkToFit="false"/>
      <protection locked="true" hidden="false"/>
    </xf>
    <xf numFmtId="164" fontId="0" fillId="10" borderId="1" xfId="0" applyFont="true" applyBorder="true" applyAlignment="true" applyProtection="false">
      <alignment horizontal="left" vertical="center" textRotation="0" wrapText="true" indent="0" shrinkToFit="false"/>
      <protection locked="true" hidden="false"/>
    </xf>
    <xf numFmtId="168" fontId="0" fillId="10" borderId="1" xfId="0" applyFont="false" applyBorder="true" applyAlignment="true" applyProtection="false">
      <alignment horizontal="center" vertical="center" textRotation="0" wrapText="true" indent="0" shrinkToFit="false"/>
      <protection locked="true" hidden="false"/>
    </xf>
    <xf numFmtId="164" fontId="0" fillId="8" borderId="1" xfId="0" applyFont="false" applyBorder="true" applyAlignment="true" applyProtection="false">
      <alignment horizontal="center" vertical="center" textRotation="0" wrapText="true" indent="0" shrinkToFit="false"/>
      <protection locked="true" hidden="false"/>
    </xf>
    <xf numFmtId="164" fontId="0" fillId="8" borderId="1" xfId="0" applyFont="true" applyBorder="true" applyAlignment="true" applyProtection="false">
      <alignment horizontal="left" vertical="center" textRotation="0" wrapText="true" indent="0" shrinkToFit="false"/>
      <protection locked="true" hidden="false"/>
    </xf>
    <xf numFmtId="168" fontId="0" fillId="8" borderId="1" xfId="0" applyFont="false" applyBorder="true" applyAlignment="true" applyProtection="false">
      <alignment horizontal="center" vertical="center" textRotation="0" wrapText="true" indent="0" shrinkToFit="false"/>
      <protection locked="true" hidden="false"/>
    </xf>
    <xf numFmtId="164" fontId="0" fillId="9" borderId="1" xfId="0" applyFont="false" applyBorder="true" applyAlignment="true" applyProtection="false">
      <alignment horizontal="center" vertical="center" textRotation="0" wrapText="true" indent="0" shrinkToFit="false"/>
      <protection locked="true" hidden="false"/>
    </xf>
    <xf numFmtId="164" fontId="0" fillId="9" borderId="1" xfId="0" applyFont="true" applyBorder="true" applyAlignment="true" applyProtection="false">
      <alignment horizontal="left" vertical="center" textRotation="0" wrapText="true" indent="0" shrinkToFit="false"/>
      <protection locked="true" hidden="false"/>
    </xf>
    <xf numFmtId="168" fontId="0" fillId="9" borderId="1" xfId="0" applyFont="false" applyBorder="true" applyAlignment="true" applyProtection="false">
      <alignment horizontal="center" vertical="center" textRotation="0" wrapText="true" indent="0" shrinkToFit="false"/>
      <protection locked="true" hidden="false"/>
    </xf>
    <xf numFmtId="164" fontId="0" fillId="12" borderId="1" xfId="0" applyFont="false" applyBorder="true" applyAlignment="true" applyProtection="false">
      <alignment horizontal="center" vertical="center" textRotation="0" wrapText="true" indent="0" shrinkToFit="false"/>
      <protection locked="true" hidden="false"/>
    </xf>
    <xf numFmtId="164" fontId="0" fillId="12" borderId="1" xfId="0" applyFont="true" applyBorder="true" applyAlignment="true" applyProtection="false">
      <alignment horizontal="left" vertical="center" textRotation="0" wrapText="true" indent="0" shrinkToFit="false"/>
      <protection locked="true" hidden="false"/>
    </xf>
    <xf numFmtId="164" fontId="0" fillId="7" borderId="1" xfId="0" applyFont="fals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4" fontId="0" fillId="7"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2" fillId="8"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145A32"/>
      <rgbColor rgb="FF000080"/>
      <rgbColor rgb="FF808000"/>
      <rgbColor rgb="FF800080"/>
      <rgbColor rgb="FF008080"/>
      <rgbColor rgb="FFC0C0C0"/>
      <rgbColor rgb="FF808080"/>
      <rgbColor rgb="FF9999FF"/>
      <rgbColor rgb="FF993366"/>
      <rgbColor rgb="FFFCF3CF"/>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DEBD0"/>
      <rgbColor rgb="FF99CCFF"/>
      <rgbColor rgb="FFF5B7B1"/>
      <rgbColor rgb="FFCC99FF"/>
      <rgbColor rgb="FFFAD7A0"/>
      <rgbColor rgb="FF3366FF"/>
      <rgbColor rgb="FF33CCCC"/>
      <rgbColor rgb="FF99CC00"/>
      <rgbColor rgb="FFFFCC00"/>
      <rgbColor rgb="FFF5B041"/>
      <rgbColor rgb="FFFF6600"/>
      <rgbColor rgb="FF666666"/>
      <rgbColor rgb="FF969696"/>
      <rgbColor rgb="FF1B4F72"/>
      <rgbColor rgb="FF1E8449"/>
      <rgbColor rgb="FF003300"/>
      <rgbColor rgb="FF333300"/>
      <rgbColor rgb="FF993300"/>
      <rgbColor rgb="FF993366"/>
      <rgbColor rgb="FF1A5276"/>
      <rgbColor rgb="FF0B534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4"/>
    <col collapsed="false" customWidth="true" hidden="false" outlineLevel="0" max="3" min="3" style="0" width="12"/>
    <col collapsed="false" customWidth="true" hidden="false" outlineLevel="0" max="4" min="4" style="0" width="14"/>
    <col collapsed="false" customWidth="true" hidden="false" outlineLevel="0" max="5" min="5" style="0" width="38"/>
    <col collapsed="false" customWidth="true" hidden="false" outlineLevel="0" max="6" min="6" style="0" width="14"/>
    <col collapsed="false" customWidth="true" hidden="false" outlineLevel="0" max="7" min="7" style="0" width="12"/>
  </cols>
  <sheetData>
    <row r="1" customFormat="false" ht="27.75" hidden="false" customHeight="true" outlineLevel="0" collapsed="false">
      <c r="A1" s="1" t="s">
        <v>0</v>
      </c>
      <c r="B1" s="1"/>
      <c r="C1" s="1"/>
      <c r="D1" s="1"/>
      <c r="E1" s="1"/>
      <c r="F1" s="1"/>
      <c r="G1" s="1"/>
      <c r="H1" s="1"/>
      <c r="I1" s="1"/>
      <c r="J1" s="1"/>
      <c r="K1" s="1"/>
      <c r="L1" s="1"/>
    </row>
    <row r="2" customFormat="false" ht="15" hidden="false" customHeight="true" outlineLevel="0" collapsed="false">
      <c r="A2" s="2" t="s">
        <v>1</v>
      </c>
      <c r="B2" s="2"/>
      <c r="C2" s="2"/>
      <c r="D2" s="2"/>
      <c r="E2" s="2"/>
      <c r="F2" s="2"/>
      <c r="G2" s="2"/>
      <c r="H2" s="2"/>
      <c r="I2" s="2"/>
      <c r="J2" s="2"/>
      <c r="K2" s="2"/>
      <c r="L2" s="2"/>
    </row>
    <row r="4" customFormat="false" ht="15" hidden="false" customHeight="true" outlineLevel="0" collapsed="false">
      <c r="A4" s="3" t="s">
        <v>2</v>
      </c>
      <c r="B4" s="3"/>
      <c r="C4" s="3"/>
      <c r="D4" s="3"/>
      <c r="E4" s="3"/>
      <c r="F4" s="3"/>
    </row>
    <row r="5" customFormat="false" ht="39.55" hidden="false" customHeight="false" outlineLevel="0" collapsed="false">
      <c r="A5" s="4" t="s">
        <v>3</v>
      </c>
      <c r="B5" s="4" t="s">
        <v>4</v>
      </c>
      <c r="C5" s="4" t="s">
        <v>5</v>
      </c>
      <c r="D5" s="4" t="s">
        <v>6</v>
      </c>
      <c r="E5" s="4" t="s">
        <v>7</v>
      </c>
      <c r="F5" s="4" t="s">
        <v>8</v>
      </c>
    </row>
    <row r="6" customFormat="false" ht="15" hidden="false" customHeight="false" outlineLevel="0" collapsed="false">
      <c r="A6" s="5" t="s">
        <v>9</v>
      </c>
      <c r="B6" s="6" t="n">
        <v>750</v>
      </c>
      <c r="C6" s="6" t="n">
        <v>310</v>
      </c>
      <c r="D6" s="7" t="n">
        <f aca="false">IF(B6=0,0,C6/B6)</f>
        <v>0.413333333333333</v>
      </c>
      <c r="E6" s="8" t="n">
        <v>0.3</v>
      </c>
      <c r="F6" s="7" t="n">
        <f aca="false">D6*E6</f>
        <v>0.124</v>
      </c>
    </row>
    <row r="7" customFormat="false" ht="15" hidden="false" customHeight="false" outlineLevel="0" collapsed="false">
      <c r="A7" s="5" t="s">
        <v>10</v>
      </c>
      <c r="B7" s="6" t="n">
        <v>44</v>
      </c>
      <c r="C7" s="6" t="n">
        <v>31</v>
      </c>
      <c r="D7" s="7" t="n">
        <f aca="false">IF(B7=0,0,C7/B7)</f>
        <v>0.704545454545455</v>
      </c>
      <c r="E7" s="8" t="n">
        <v>0.25</v>
      </c>
      <c r="F7" s="7" t="n">
        <f aca="false">D7*E7</f>
        <v>0.176136363636364</v>
      </c>
    </row>
    <row r="8" customFormat="false" ht="15" hidden="false" customHeight="false" outlineLevel="0" collapsed="false">
      <c r="A8" s="5" t="s">
        <v>11</v>
      </c>
      <c r="B8" s="6" t="n">
        <v>65</v>
      </c>
      <c r="C8" s="6" t="n">
        <v>48</v>
      </c>
      <c r="D8" s="7" t="n">
        <f aca="false">IF(B8=0,0,C8/B8)</f>
        <v>0.738461538461539</v>
      </c>
      <c r="E8" s="8" t="n">
        <v>0.1</v>
      </c>
      <c r="F8" s="7" t="n">
        <f aca="false">D8*E8</f>
        <v>0.0738461538461539</v>
      </c>
    </row>
    <row r="9" customFormat="false" ht="15" hidden="false" customHeight="false" outlineLevel="0" collapsed="false">
      <c r="A9" s="5" t="s">
        <v>12</v>
      </c>
      <c r="B9" s="6" t="n">
        <v>680</v>
      </c>
      <c r="C9" s="6" t="n">
        <v>590</v>
      </c>
      <c r="D9" s="7" t="n">
        <f aca="false">IF(B9=0,0,C9/B9)</f>
        <v>0.867647058823529</v>
      </c>
      <c r="E9" s="8" t="n">
        <v>0.15</v>
      </c>
      <c r="F9" s="7" t="n">
        <f aca="false">D9*E9</f>
        <v>0.130147058823529</v>
      </c>
    </row>
    <row r="10" customFormat="false" ht="15" hidden="false" customHeight="false" outlineLevel="0" collapsed="false">
      <c r="A10" s="5" t="s">
        <v>13</v>
      </c>
      <c r="B10" s="6" t="n">
        <v>95</v>
      </c>
      <c r="C10" s="6" t="n">
        <v>78</v>
      </c>
      <c r="D10" s="7" t="n">
        <f aca="false">IF(B10=0,0,C10/B10)</f>
        <v>0.821052631578947</v>
      </c>
      <c r="E10" s="8" t="n">
        <v>0.1</v>
      </c>
      <c r="F10" s="7" t="n">
        <f aca="false">D10*E10</f>
        <v>0.0821052631578947</v>
      </c>
    </row>
    <row r="11" customFormat="false" ht="15" hidden="false" customHeight="false" outlineLevel="0" collapsed="false">
      <c r="A11" s="5" t="s">
        <v>14</v>
      </c>
      <c r="B11" s="6" t="n">
        <v>180</v>
      </c>
      <c r="C11" s="6" t="n">
        <v>142</v>
      </c>
      <c r="D11" s="7" t="n">
        <f aca="false">IF(B11=0,0,C11/B11)</f>
        <v>0.788888888888889</v>
      </c>
      <c r="E11" s="8" t="n">
        <v>0.05</v>
      </c>
      <c r="F11" s="7" t="n">
        <f aca="false">D11*E11</f>
        <v>0.0394444444444445</v>
      </c>
    </row>
    <row r="12" customFormat="false" ht="15" hidden="false" customHeight="false" outlineLevel="0" collapsed="false">
      <c r="A12" s="5" t="s">
        <v>15</v>
      </c>
      <c r="B12" s="6" t="n">
        <v>95</v>
      </c>
      <c r="C12" s="6" t="n">
        <v>81</v>
      </c>
      <c r="D12" s="7" t="n">
        <f aca="false">IF(B12=0,0,C12/B12)</f>
        <v>0.852631578947368</v>
      </c>
      <c r="E12" s="8" t="n">
        <v>0.05</v>
      </c>
      <c r="F12" s="7" t="n">
        <f aca="false">D12*E12</f>
        <v>0.0426315789473684</v>
      </c>
    </row>
    <row r="13" customFormat="false" ht="15" hidden="false" customHeight="false" outlineLevel="0" collapsed="false">
      <c r="A13" s="9" t="s">
        <v>16</v>
      </c>
      <c r="B13" s="10"/>
      <c r="C13" s="10"/>
      <c r="D13" s="10"/>
      <c r="E13" s="10"/>
      <c r="F13" s="11" t="n">
        <f aca="false">SUM(F6:F12)</f>
        <v>0.668310862855755</v>
      </c>
    </row>
    <row r="14" customFormat="false" ht="15" hidden="false" customHeight="false" outlineLevel="0" collapsed="false">
      <c r="A14" s="12" t="s">
        <v>17</v>
      </c>
      <c r="B14" s="12"/>
      <c r="C14" s="12"/>
      <c r="D14" s="12"/>
      <c r="E14" s="12"/>
      <c r="F14" s="12"/>
    </row>
    <row r="16" customFormat="false" ht="15" hidden="false" customHeight="true" outlineLevel="0" collapsed="false">
      <c r="A16" s="3" t="s">
        <v>18</v>
      </c>
      <c r="B16" s="3"/>
      <c r="C16" s="3"/>
      <c r="D16" s="3"/>
      <c r="E16" s="3"/>
      <c r="F16" s="3"/>
      <c r="G16" s="3"/>
    </row>
    <row r="17" customFormat="false" ht="26.85" hidden="false" customHeight="false" outlineLevel="0" collapsed="false">
      <c r="A17" s="4" t="s">
        <v>19</v>
      </c>
      <c r="B17" s="4" t="s">
        <v>20</v>
      </c>
      <c r="C17" s="4" t="s">
        <v>21</v>
      </c>
      <c r="D17" s="4" t="s">
        <v>22</v>
      </c>
      <c r="E17" s="4" t="s">
        <v>23</v>
      </c>
    </row>
    <row r="18" customFormat="false" ht="15" hidden="false" customHeight="false" outlineLevel="0" collapsed="false">
      <c r="A18" s="13" t="s">
        <v>24</v>
      </c>
      <c r="B18" s="14" t="n">
        <v>750</v>
      </c>
      <c r="C18" s="15" t="s">
        <v>25</v>
      </c>
      <c r="D18" s="15" t="s">
        <v>26</v>
      </c>
      <c r="E18" s="15" t="s">
        <v>27</v>
      </c>
    </row>
    <row r="19" customFormat="false" ht="15" hidden="false" customHeight="false" outlineLevel="0" collapsed="false">
      <c r="A19" s="16" t="s">
        <v>28</v>
      </c>
      <c r="B19" s="17" t="n">
        <v>540</v>
      </c>
      <c r="C19" s="18" t="n">
        <f aca="false">B19/B18</f>
        <v>0.72</v>
      </c>
      <c r="D19" s="18" t="n">
        <f aca="false">B19/B18</f>
        <v>0.72</v>
      </c>
      <c r="E19" s="15" t="s">
        <v>29</v>
      </c>
    </row>
    <row r="20" customFormat="false" ht="15" hidden="false" customHeight="false" outlineLevel="0" collapsed="false">
      <c r="A20" s="19" t="s">
        <v>30</v>
      </c>
      <c r="B20" s="6" t="n">
        <v>40</v>
      </c>
      <c r="C20" s="7" t="n">
        <f aca="false">B20/$B$19</f>
        <v>0.0740740740740741</v>
      </c>
      <c r="D20" s="7" t="n">
        <f aca="false">B20/$B$18</f>
        <v>0.0533333333333333</v>
      </c>
      <c r="E20" s="6" t="s">
        <v>31</v>
      </c>
    </row>
    <row r="21" customFormat="false" ht="15" hidden="false" customHeight="false" outlineLevel="0" collapsed="false">
      <c r="A21" s="19" t="s">
        <v>32</v>
      </c>
      <c r="B21" s="6" t="n">
        <v>25</v>
      </c>
      <c r="C21" s="7" t="n">
        <f aca="false">B21/$B$19</f>
        <v>0.0462962962962963</v>
      </c>
      <c r="D21" s="7" t="n">
        <f aca="false">B21/$B$18</f>
        <v>0.0333333333333333</v>
      </c>
      <c r="E21" s="6" t="s">
        <v>33</v>
      </c>
    </row>
    <row r="22" customFormat="false" ht="15" hidden="false" customHeight="false" outlineLevel="0" collapsed="false">
      <c r="A22" s="19" t="s">
        <v>34</v>
      </c>
      <c r="B22" s="6" t="n">
        <v>55</v>
      </c>
      <c r="C22" s="7" t="n">
        <f aca="false">B22/$B$19</f>
        <v>0.101851851851852</v>
      </c>
      <c r="D22" s="7" t="n">
        <f aca="false">B22/$B$18</f>
        <v>0.0733333333333333</v>
      </c>
      <c r="E22" s="6" t="s">
        <v>35</v>
      </c>
    </row>
    <row r="23" customFormat="false" ht="15" hidden="false" customHeight="false" outlineLevel="0" collapsed="false">
      <c r="A23" s="19" t="s">
        <v>36</v>
      </c>
      <c r="B23" s="6" t="n">
        <v>35</v>
      </c>
      <c r="C23" s="7" t="n">
        <f aca="false">B23/$B$19</f>
        <v>0.0648148148148148</v>
      </c>
      <c r="D23" s="7" t="n">
        <f aca="false">B23/$B$18</f>
        <v>0.0466666666666667</v>
      </c>
      <c r="E23" s="6" t="s">
        <v>37</v>
      </c>
    </row>
    <row r="24" customFormat="false" ht="15" hidden="false" customHeight="false" outlineLevel="0" collapsed="false">
      <c r="A24" s="19" t="s">
        <v>38</v>
      </c>
      <c r="B24" s="6" t="n">
        <v>30</v>
      </c>
      <c r="C24" s="7" t="n">
        <f aca="false">B24/$B$19</f>
        <v>0.0555555555555556</v>
      </c>
      <c r="D24" s="7" t="n">
        <f aca="false">B24/$B$18</f>
        <v>0.04</v>
      </c>
      <c r="E24" s="6" t="s">
        <v>39</v>
      </c>
    </row>
    <row r="25" customFormat="false" ht="15" hidden="false" customHeight="false" outlineLevel="0" collapsed="false">
      <c r="A25" s="19" t="s">
        <v>40</v>
      </c>
      <c r="B25" s="6" t="n">
        <v>45</v>
      </c>
      <c r="C25" s="7" t="n">
        <f aca="false">B25/$B$19</f>
        <v>0.0833333333333333</v>
      </c>
      <c r="D25" s="7" t="n">
        <f aca="false">B25/$B$18</f>
        <v>0.06</v>
      </c>
      <c r="E25" s="6" t="s">
        <v>41</v>
      </c>
    </row>
    <row r="26" customFormat="false" ht="15" hidden="false" customHeight="false" outlineLevel="0" collapsed="false">
      <c r="A26" s="20" t="s">
        <v>42</v>
      </c>
      <c r="B26" s="21" t="n">
        <v>310</v>
      </c>
      <c r="C26" s="22" t="n">
        <f aca="false">B26/$B$19</f>
        <v>0.574074074074074</v>
      </c>
      <c r="D26" s="22" t="n">
        <f aca="false">B26/$B$18</f>
        <v>0.413333333333333</v>
      </c>
      <c r="E26" s="21" t="s">
        <v>43</v>
      </c>
    </row>
    <row r="27" customFormat="false" ht="15" hidden="false" customHeight="false" outlineLevel="0" collapsed="false">
      <c r="A27" s="23" t="s">
        <v>44</v>
      </c>
      <c r="B27" s="23" t="n">
        <f aca="false">SUM(B20:B26)</f>
        <v>540</v>
      </c>
      <c r="C27" s="24"/>
      <c r="D27" s="24"/>
      <c r="E27" s="24"/>
    </row>
    <row r="29" customFormat="false" ht="15" hidden="false" customHeight="false" outlineLevel="0" collapsed="false">
      <c r="A29" s="25" t="s">
        <v>45</v>
      </c>
      <c r="B29" s="26" t="n">
        <f aca="false">B18-B19</f>
        <v>210</v>
      </c>
      <c r="C29" s="27" t="n">
        <f aca="false">B29/B18</f>
        <v>0.28</v>
      </c>
      <c r="D29" s="26"/>
      <c r="E29" s="26" t="s">
        <v>46</v>
      </c>
    </row>
    <row r="31" customFormat="false" ht="54.75" hidden="false" customHeight="true" outlineLevel="0" collapsed="false">
      <c r="A31" s="28" t="s">
        <v>47</v>
      </c>
      <c r="B31" s="28"/>
      <c r="C31" s="28"/>
      <c r="D31" s="28"/>
      <c r="E31" s="28"/>
      <c r="F31" s="28"/>
      <c r="G31" s="28"/>
    </row>
    <row r="32" customFormat="false" ht="15" hidden="false" customHeight="false" outlineLevel="0" collapsed="false">
      <c r="A32" s="28"/>
      <c r="B32" s="28"/>
      <c r="C32" s="28"/>
      <c r="D32" s="28"/>
      <c r="E32" s="28"/>
      <c r="F32" s="28"/>
      <c r="G32" s="28"/>
    </row>
    <row r="33" customFormat="false" ht="15" hidden="false" customHeight="false" outlineLevel="0" collapsed="false">
      <c r="A33" s="28"/>
      <c r="B33" s="28"/>
      <c r="C33" s="28"/>
      <c r="D33" s="28"/>
      <c r="E33" s="28"/>
      <c r="F33" s="28"/>
      <c r="G33" s="28"/>
    </row>
  </sheetData>
  <mergeCells count="6">
    <mergeCell ref="A1:L1"/>
    <mergeCell ref="A2:L2"/>
    <mergeCell ref="A4:F4"/>
    <mergeCell ref="A14:F14"/>
    <mergeCell ref="A16:G16"/>
    <mergeCell ref="A31:G3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3" min="3" style="0" width="11"/>
    <col collapsed="false" customWidth="true" hidden="false" outlineLevel="0" max="4" min="4" style="0" width="9"/>
    <col collapsed="false" customWidth="true" hidden="false" outlineLevel="0" max="6" min="5" style="0" width="10"/>
    <col collapsed="false" customWidth="true" hidden="false" outlineLevel="0" max="7" min="7" style="0" width="12"/>
    <col collapsed="false" customWidth="true" hidden="false" outlineLevel="0" max="8" min="8" style="0" width="14"/>
    <col collapsed="false" customWidth="true" hidden="false" outlineLevel="0" max="9" min="9" style="0" width="11"/>
    <col collapsed="false" customWidth="true" hidden="false" outlineLevel="0" max="10" min="10" style="0" width="32"/>
  </cols>
  <sheetData>
    <row r="1" customFormat="false" ht="25.5" hidden="false" customHeight="true" outlineLevel="0" collapsed="false">
      <c r="A1" s="1" t="s">
        <v>48</v>
      </c>
      <c r="B1" s="1"/>
      <c r="C1" s="1"/>
      <c r="D1" s="1"/>
      <c r="E1" s="1"/>
      <c r="F1" s="1"/>
      <c r="G1" s="1"/>
      <c r="H1" s="1"/>
      <c r="I1" s="1"/>
      <c r="J1" s="1"/>
    </row>
    <row r="2" customFormat="false" ht="15" hidden="false" customHeight="true" outlineLevel="0" collapsed="false">
      <c r="A2" s="2" t="s">
        <v>49</v>
      </c>
      <c r="B2" s="2"/>
      <c r="C2" s="2"/>
      <c r="D2" s="2"/>
      <c r="E2" s="2"/>
      <c r="F2" s="2"/>
      <c r="G2" s="2"/>
      <c r="H2" s="2"/>
      <c r="I2" s="2"/>
      <c r="J2" s="2"/>
    </row>
    <row r="4" customFormat="false" ht="15" hidden="false" customHeight="true" outlineLevel="0" collapsed="false">
      <c r="A4" s="3" t="s">
        <v>50</v>
      </c>
      <c r="B4" s="3"/>
      <c r="C4" s="3"/>
      <c r="D4" s="3"/>
      <c r="E4" s="3"/>
      <c r="F4" s="3"/>
      <c r="G4" s="3"/>
      <c r="H4" s="3"/>
      <c r="I4" s="3"/>
      <c r="J4" s="3"/>
    </row>
    <row r="5" customFormat="false" ht="26.85" hidden="false" customHeight="false" outlineLevel="0" collapsed="false">
      <c r="A5" s="4" t="s">
        <v>51</v>
      </c>
      <c r="B5" s="4" t="s">
        <v>52</v>
      </c>
      <c r="C5" s="4" t="s">
        <v>4</v>
      </c>
      <c r="D5" s="4" t="s">
        <v>53</v>
      </c>
      <c r="E5" s="4" t="s">
        <v>54</v>
      </c>
      <c r="F5" s="4" t="s">
        <v>55</v>
      </c>
      <c r="G5" s="4" t="s">
        <v>56</v>
      </c>
      <c r="H5" s="4" t="s">
        <v>57</v>
      </c>
      <c r="I5" s="4" t="s">
        <v>58</v>
      </c>
      <c r="J5" s="4" t="s">
        <v>23</v>
      </c>
    </row>
    <row r="6" customFormat="false" ht="15" hidden="false" customHeight="false" outlineLevel="0" collapsed="false">
      <c r="A6" s="6" t="n">
        <v>1</v>
      </c>
      <c r="B6" s="29" t="s">
        <v>59</v>
      </c>
      <c r="C6" s="6" t="n">
        <v>36</v>
      </c>
      <c r="D6" s="6" t="n">
        <v>28</v>
      </c>
      <c r="E6" s="6" t="n">
        <v>22</v>
      </c>
      <c r="F6" s="6" t="n">
        <v>4</v>
      </c>
      <c r="G6" s="6" t="n">
        <v>2</v>
      </c>
      <c r="H6" s="7" t="n">
        <f aca="false">IF(D6=0,0,E6/D6)</f>
        <v>0.785714285714286</v>
      </c>
      <c r="I6" s="6" t="n">
        <f aca="false">C6-D6</f>
        <v>8</v>
      </c>
      <c r="J6" s="29" t="s">
        <v>60</v>
      </c>
    </row>
    <row r="7" customFormat="false" ht="15" hidden="false" customHeight="false" outlineLevel="0" collapsed="false">
      <c r="A7" s="6" t="n">
        <v>2</v>
      </c>
      <c r="B7" s="29" t="s">
        <v>61</v>
      </c>
      <c r="C7" s="6" t="n">
        <v>4</v>
      </c>
      <c r="D7" s="6" t="n">
        <v>3</v>
      </c>
      <c r="E7" s="6" t="n">
        <v>2</v>
      </c>
      <c r="F7" s="6" t="n">
        <v>0</v>
      </c>
      <c r="G7" s="6" t="n">
        <v>1</v>
      </c>
      <c r="H7" s="7" t="n">
        <f aca="false">IF(D7=0,0,E7/D7)</f>
        <v>0.666666666666667</v>
      </c>
      <c r="I7" s="6" t="n">
        <f aca="false">C7-D7</f>
        <v>1</v>
      </c>
      <c r="J7" s="29" t="s">
        <v>62</v>
      </c>
    </row>
    <row r="8" customFormat="false" ht="15" hidden="false" customHeight="false" outlineLevel="0" collapsed="false">
      <c r="A8" s="6" t="n">
        <v>3</v>
      </c>
      <c r="B8" s="29" t="s">
        <v>63</v>
      </c>
      <c r="C8" s="6" t="n">
        <v>4</v>
      </c>
      <c r="D8" s="6" t="n">
        <v>3</v>
      </c>
      <c r="E8" s="6" t="n">
        <v>3</v>
      </c>
      <c r="F8" s="6" t="n">
        <v>0</v>
      </c>
      <c r="G8" s="6" t="n">
        <v>0</v>
      </c>
      <c r="H8" s="7" t="n">
        <f aca="false">IF(D8=0,0,E8/D8)</f>
        <v>1</v>
      </c>
      <c r="I8" s="6" t="n">
        <f aca="false">C8-D8</f>
        <v>1</v>
      </c>
      <c r="J8" s="29" t="s">
        <v>64</v>
      </c>
    </row>
    <row r="9" customFormat="false" ht="15" hidden="false" customHeight="false" outlineLevel="0" collapsed="false">
      <c r="A9" s="23"/>
      <c r="B9" s="23" t="s">
        <v>65</v>
      </c>
      <c r="C9" s="23" t="n">
        <f aca="false">SUM(C6:C8)</f>
        <v>44</v>
      </c>
      <c r="D9" s="23" t="n">
        <f aca="false">SUM(D6:D8)</f>
        <v>34</v>
      </c>
      <c r="E9" s="23" t="n">
        <f aca="false">SUM(E6:E8)</f>
        <v>27</v>
      </c>
      <c r="F9" s="23" t="n">
        <f aca="false">SUM(F6:F8)</f>
        <v>4</v>
      </c>
      <c r="G9" s="23" t="n">
        <f aca="false">SUM(G6:G8)</f>
        <v>3</v>
      </c>
      <c r="H9" s="30" t="n">
        <f aca="false">IF(D9=0,0,E9/D9)</f>
        <v>0.794117647058824</v>
      </c>
      <c r="I9" s="23" t="n">
        <f aca="false">C9-D9</f>
        <v>10</v>
      </c>
      <c r="J9" s="23"/>
    </row>
    <row r="11" customFormat="false" ht="15" hidden="false" customHeight="true" outlineLevel="0" collapsed="false">
      <c r="A11" s="3" t="s">
        <v>66</v>
      </c>
      <c r="B11" s="3"/>
      <c r="C11" s="3"/>
      <c r="D11" s="3"/>
      <c r="E11" s="3"/>
      <c r="F11" s="3"/>
      <c r="G11" s="3"/>
      <c r="H11" s="3"/>
      <c r="I11" s="3"/>
      <c r="J11" s="3"/>
    </row>
    <row r="12" customFormat="false" ht="26.85" hidden="false" customHeight="false" outlineLevel="0" collapsed="false">
      <c r="A12" s="4" t="s">
        <v>51</v>
      </c>
      <c r="B12" s="4" t="s">
        <v>52</v>
      </c>
      <c r="C12" s="4" t="s">
        <v>4</v>
      </c>
      <c r="D12" s="4" t="s">
        <v>53</v>
      </c>
      <c r="E12" s="4" t="s">
        <v>54</v>
      </c>
      <c r="F12" s="4" t="s">
        <v>55</v>
      </c>
      <c r="G12" s="4" t="s">
        <v>56</v>
      </c>
      <c r="H12" s="4" t="s">
        <v>57</v>
      </c>
      <c r="I12" s="4" t="s">
        <v>58</v>
      </c>
      <c r="J12" s="4" t="s">
        <v>23</v>
      </c>
    </row>
    <row r="13" customFormat="false" ht="15" hidden="false" customHeight="false" outlineLevel="0" collapsed="false">
      <c r="A13" s="6" t="n">
        <v>1</v>
      </c>
      <c r="B13" s="29" t="s">
        <v>67</v>
      </c>
      <c r="C13" s="6" t="n">
        <v>15</v>
      </c>
      <c r="D13" s="6" t="n">
        <v>12</v>
      </c>
      <c r="E13" s="6" t="n">
        <v>9</v>
      </c>
      <c r="F13" s="6" t="n">
        <v>2</v>
      </c>
      <c r="G13" s="6" t="n">
        <v>1</v>
      </c>
      <c r="H13" s="7" t="n">
        <f aca="false">IF(D13=0,0,E13/D13)</f>
        <v>0.75</v>
      </c>
      <c r="I13" s="6" t="n">
        <f aca="false">C13-D13</f>
        <v>3</v>
      </c>
      <c r="J13" s="29" t="s">
        <v>68</v>
      </c>
    </row>
    <row r="14" customFormat="false" ht="15" hidden="false" customHeight="false" outlineLevel="0" collapsed="false">
      <c r="A14" s="6" t="n">
        <v>2</v>
      </c>
      <c r="B14" s="29" t="s">
        <v>69</v>
      </c>
      <c r="C14" s="6" t="n">
        <v>10</v>
      </c>
      <c r="D14" s="6" t="n">
        <v>8</v>
      </c>
      <c r="E14" s="6" t="n">
        <v>7</v>
      </c>
      <c r="F14" s="6" t="n">
        <v>1</v>
      </c>
      <c r="G14" s="6" t="n">
        <v>0</v>
      </c>
      <c r="H14" s="7" t="n">
        <f aca="false">IF(D14=0,0,E14/D14)</f>
        <v>0.875</v>
      </c>
      <c r="I14" s="6" t="n">
        <f aca="false">C14-D14</f>
        <v>2</v>
      </c>
      <c r="J14" s="29" t="s">
        <v>70</v>
      </c>
    </row>
    <row r="15" customFormat="false" ht="15" hidden="false" customHeight="false" outlineLevel="0" collapsed="false">
      <c r="A15" s="6" t="n">
        <v>3</v>
      </c>
      <c r="B15" s="29" t="s">
        <v>71</v>
      </c>
      <c r="C15" s="6" t="n">
        <v>18</v>
      </c>
      <c r="D15" s="6" t="n">
        <v>14</v>
      </c>
      <c r="E15" s="6" t="n">
        <v>11</v>
      </c>
      <c r="F15" s="6" t="n">
        <v>2</v>
      </c>
      <c r="G15" s="6" t="n">
        <v>1</v>
      </c>
      <c r="H15" s="7" t="n">
        <f aca="false">IF(D15=0,0,E15/D15)</f>
        <v>0.785714285714286</v>
      </c>
      <c r="I15" s="6" t="n">
        <f aca="false">C15-D15</f>
        <v>4</v>
      </c>
      <c r="J15" s="29" t="s">
        <v>62</v>
      </c>
    </row>
    <row r="16" customFormat="false" ht="15" hidden="false" customHeight="false" outlineLevel="0" collapsed="false">
      <c r="A16" s="6" t="n">
        <v>4</v>
      </c>
      <c r="B16" s="29" t="s">
        <v>72</v>
      </c>
      <c r="C16" s="6" t="n">
        <v>4</v>
      </c>
      <c r="D16" s="6" t="n">
        <v>3</v>
      </c>
      <c r="E16" s="6" t="n">
        <v>3</v>
      </c>
      <c r="F16" s="6" t="n">
        <v>0</v>
      </c>
      <c r="G16" s="6" t="n">
        <v>0</v>
      </c>
      <c r="H16" s="7" t="n">
        <f aca="false">IF(D16=0,0,E16/D16)</f>
        <v>1</v>
      </c>
      <c r="I16" s="6" t="n">
        <f aca="false">C16-D16</f>
        <v>1</v>
      </c>
      <c r="J16" s="29" t="s">
        <v>73</v>
      </c>
    </row>
    <row r="17" customFormat="false" ht="15" hidden="false" customHeight="false" outlineLevel="0" collapsed="false">
      <c r="A17" s="6" t="n">
        <v>5</v>
      </c>
      <c r="B17" s="29" t="s">
        <v>74</v>
      </c>
      <c r="C17" s="6" t="n">
        <v>5</v>
      </c>
      <c r="D17" s="6" t="n">
        <v>4</v>
      </c>
      <c r="E17" s="6" t="n">
        <v>3</v>
      </c>
      <c r="F17" s="6" t="n">
        <v>1</v>
      </c>
      <c r="G17" s="6" t="n">
        <v>0</v>
      </c>
      <c r="H17" s="7" t="n">
        <f aca="false">IF(D17=0,0,E17/D17)</f>
        <v>0.75</v>
      </c>
      <c r="I17" s="6" t="n">
        <f aca="false">C17-D17</f>
        <v>1</v>
      </c>
      <c r="J17" s="29" t="s">
        <v>75</v>
      </c>
    </row>
    <row r="18" customFormat="false" ht="15" hidden="false" customHeight="false" outlineLevel="0" collapsed="false">
      <c r="A18" s="6" t="n">
        <v>6</v>
      </c>
      <c r="B18" s="29" t="s">
        <v>76</v>
      </c>
      <c r="C18" s="6" t="n">
        <v>12</v>
      </c>
      <c r="D18" s="6" t="n">
        <v>9</v>
      </c>
      <c r="E18" s="6" t="n">
        <v>8</v>
      </c>
      <c r="F18" s="6" t="n">
        <v>1</v>
      </c>
      <c r="G18" s="6" t="n">
        <v>0</v>
      </c>
      <c r="H18" s="7" t="n">
        <f aca="false">IF(D18=0,0,E18/D18)</f>
        <v>0.888888888888889</v>
      </c>
      <c r="I18" s="6" t="n">
        <f aca="false">C18-D18</f>
        <v>3</v>
      </c>
      <c r="J18" s="29" t="s">
        <v>77</v>
      </c>
    </row>
    <row r="19" customFormat="false" ht="15" hidden="false" customHeight="false" outlineLevel="0" collapsed="false">
      <c r="A19" s="23"/>
      <c r="B19" s="23" t="s">
        <v>78</v>
      </c>
      <c r="C19" s="23" t="n">
        <f aca="false">SUM(C13:C18)</f>
        <v>64</v>
      </c>
      <c r="D19" s="23" t="n">
        <f aca="false">SUM(D13:D18)</f>
        <v>50</v>
      </c>
      <c r="E19" s="23" t="n">
        <f aca="false">SUM(E13:E18)</f>
        <v>41</v>
      </c>
      <c r="F19" s="23" t="n">
        <f aca="false">SUM(F13:F18)</f>
        <v>7</v>
      </c>
      <c r="G19" s="23" t="n">
        <f aca="false">SUM(G13:G18)</f>
        <v>2</v>
      </c>
      <c r="H19" s="30" t="n">
        <f aca="false">IF(D19=0,0,E19/D19)</f>
        <v>0.82</v>
      </c>
      <c r="I19" s="23" t="n">
        <f aca="false">C19-D19</f>
        <v>14</v>
      </c>
      <c r="J19" s="23"/>
    </row>
    <row r="21" customFormat="false" ht="15" hidden="false" customHeight="false" outlineLevel="0" collapsed="false">
      <c r="A21" s="31"/>
      <c r="B21" s="31" t="s">
        <v>79</v>
      </c>
      <c r="C21" s="31" t="n">
        <f aca="false">C9+C19</f>
        <v>108</v>
      </c>
      <c r="D21" s="31" t="n">
        <f aca="false">D9+D19</f>
        <v>84</v>
      </c>
      <c r="E21" s="31" t="n">
        <f aca="false">E9+E19</f>
        <v>68</v>
      </c>
      <c r="F21" s="31" t="n">
        <f aca="false">F9+F19</f>
        <v>11</v>
      </c>
      <c r="G21" s="31" t="n">
        <f aca="false">G9+G19</f>
        <v>5</v>
      </c>
      <c r="H21" s="32" t="n">
        <f aca="false">IF(D21=0,0,E21/D21)</f>
        <v>0.80952380952381</v>
      </c>
      <c r="I21" s="31" t="n">
        <f aca="false">C21-D21</f>
        <v>24</v>
      </c>
      <c r="J21" s="31"/>
    </row>
    <row r="23" customFormat="false" ht="15" hidden="false" customHeight="true" outlineLevel="0" collapsed="false">
      <c r="A23" s="28" t="s">
        <v>80</v>
      </c>
      <c r="B23" s="28"/>
      <c r="C23" s="28"/>
      <c r="D23" s="28"/>
      <c r="E23" s="28"/>
      <c r="F23" s="28"/>
      <c r="G23" s="28"/>
      <c r="H23" s="28"/>
      <c r="I23" s="28"/>
      <c r="J23" s="28"/>
    </row>
    <row r="24" customFormat="false" ht="15" hidden="false" customHeight="false" outlineLevel="0" collapsed="false">
      <c r="A24" s="28"/>
      <c r="B24" s="28"/>
      <c r="C24" s="28"/>
      <c r="D24" s="28"/>
      <c r="E24" s="28"/>
      <c r="F24" s="28"/>
      <c r="G24" s="28"/>
      <c r="H24" s="28"/>
      <c r="I24" s="28"/>
      <c r="J24" s="28"/>
    </row>
  </sheetData>
  <mergeCells count="5">
    <mergeCell ref="A1:J1"/>
    <mergeCell ref="A2:J2"/>
    <mergeCell ref="A4:J4"/>
    <mergeCell ref="A11:J11"/>
    <mergeCell ref="A23:J2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11"/>
    <col collapsed="false" customWidth="true" hidden="false" outlineLevel="0" max="4" min="4" style="0" width="9"/>
    <col collapsed="false" customWidth="true" hidden="false" outlineLevel="0" max="5" min="5" style="0" width="11"/>
    <col collapsed="false" customWidth="true" hidden="false" outlineLevel="0" max="9" min="6" style="0" width="10"/>
    <col collapsed="false" customWidth="true" hidden="false" outlineLevel="0" max="10" min="10" style="0" width="11"/>
    <col collapsed="false" customWidth="true" hidden="false" outlineLevel="0" max="11" min="11" style="0" width="14"/>
  </cols>
  <sheetData>
    <row r="1" customFormat="false" ht="25.5" hidden="false" customHeight="true" outlineLevel="0" collapsed="false">
      <c r="A1" s="1" t="s">
        <v>81</v>
      </c>
      <c r="B1" s="1"/>
      <c r="C1" s="1"/>
      <c r="D1" s="1"/>
      <c r="E1" s="1"/>
      <c r="F1" s="1"/>
      <c r="G1" s="1"/>
      <c r="H1" s="1"/>
      <c r="I1" s="1"/>
      <c r="J1" s="1"/>
      <c r="K1" s="1"/>
    </row>
    <row r="2" customFormat="false" ht="15" hidden="false" customHeight="true" outlineLevel="0" collapsed="false">
      <c r="A2" s="2" t="s">
        <v>49</v>
      </c>
      <c r="B2" s="2"/>
      <c r="C2" s="2"/>
      <c r="D2" s="2"/>
      <c r="E2" s="2"/>
      <c r="F2" s="2"/>
      <c r="G2" s="2"/>
      <c r="H2" s="2"/>
      <c r="I2" s="2"/>
      <c r="J2" s="2"/>
      <c r="K2" s="2"/>
    </row>
    <row r="4" customFormat="false" ht="26.85" hidden="false" customHeight="false" outlineLevel="0" collapsed="false">
      <c r="A4" s="4" t="s">
        <v>51</v>
      </c>
      <c r="B4" s="4" t="s">
        <v>82</v>
      </c>
      <c r="C4" s="4" t="s">
        <v>4</v>
      </c>
      <c r="D4" s="4" t="s">
        <v>53</v>
      </c>
      <c r="E4" s="4" t="s">
        <v>58</v>
      </c>
      <c r="F4" s="4" t="s">
        <v>83</v>
      </c>
      <c r="G4" s="4" t="s">
        <v>84</v>
      </c>
      <c r="H4" s="4" t="s">
        <v>85</v>
      </c>
      <c r="I4" s="4" t="s">
        <v>86</v>
      </c>
      <c r="J4" s="4" t="s">
        <v>87</v>
      </c>
      <c r="K4" s="4" t="s">
        <v>88</v>
      </c>
    </row>
    <row r="5" customFormat="false" ht="15" hidden="false" customHeight="false" outlineLevel="0" collapsed="false">
      <c r="A5" s="6" t="n">
        <v>1</v>
      </c>
      <c r="B5" s="29" t="s">
        <v>89</v>
      </c>
      <c r="C5" s="6" t="n">
        <v>520</v>
      </c>
      <c r="D5" s="6" t="n">
        <v>485</v>
      </c>
      <c r="E5" s="6" t="n">
        <f aca="false">C5-D5</f>
        <v>35</v>
      </c>
      <c r="F5" s="7" t="n">
        <f aca="false">IF(C5=0,0,D5/C5)</f>
        <v>0.932692307692308</v>
      </c>
      <c r="G5" s="6" t="n">
        <v>410</v>
      </c>
      <c r="H5" s="6" t="n">
        <v>45</v>
      </c>
      <c r="I5" s="6" t="n">
        <v>20</v>
      </c>
      <c r="J5" s="6" t="n">
        <v>8</v>
      </c>
      <c r="K5" s="6" t="n">
        <v>2</v>
      </c>
    </row>
    <row r="6" customFormat="false" ht="15" hidden="false" customHeight="false" outlineLevel="0" collapsed="false">
      <c r="A6" s="6" t="n">
        <v>2</v>
      </c>
      <c r="B6" s="29" t="s">
        <v>90</v>
      </c>
      <c r="C6" s="6" t="n">
        <v>85</v>
      </c>
      <c r="D6" s="6" t="n">
        <v>78</v>
      </c>
      <c r="E6" s="6" t="n">
        <f aca="false">C6-D6</f>
        <v>7</v>
      </c>
      <c r="F6" s="7" t="n">
        <f aca="false">IF(C6=0,0,D6/C6)</f>
        <v>0.917647058823529</v>
      </c>
      <c r="G6" s="6" t="n">
        <v>65</v>
      </c>
      <c r="H6" s="6" t="n">
        <v>8</v>
      </c>
      <c r="I6" s="6" t="n">
        <v>3</v>
      </c>
      <c r="J6" s="6" t="n">
        <v>2</v>
      </c>
      <c r="K6" s="6" t="n">
        <v>0</v>
      </c>
    </row>
    <row r="7" customFormat="false" ht="15" hidden="false" customHeight="false" outlineLevel="0" collapsed="false">
      <c r="A7" s="6" t="n">
        <v>3</v>
      </c>
      <c r="B7" s="29" t="s">
        <v>91</v>
      </c>
      <c r="C7" s="6" t="n">
        <v>48</v>
      </c>
      <c r="D7" s="6" t="n">
        <v>42</v>
      </c>
      <c r="E7" s="6" t="n">
        <f aca="false">C7-D7</f>
        <v>6</v>
      </c>
      <c r="F7" s="7" t="n">
        <f aca="false">IF(C7=0,0,D7/C7)</f>
        <v>0.875</v>
      </c>
      <c r="G7" s="6" t="n">
        <v>35</v>
      </c>
      <c r="H7" s="6" t="n">
        <v>4</v>
      </c>
      <c r="I7" s="6" t="n">
        <v>2</v>
      </c>
      <c r="J7" s="6" t="n">
        <v>1</v>
      </c>
      <c r="K7" s="6" t="n">
        <v>0</v>
      </c>
    </row>
    <row r="8" customFormat="false" ht="15" hidden="false" customHeight="false" outlineLevel="0" collapsed="false">
      <c r="A8" s="6" t="n">
        <v>4</v>
      </c>
      <c r="B8" s="29" t="s">
        <v>92</v>
      </c>
      <c r="C8" s="6" t="n">
        <v>18</v>
      </c>
      <c r="D8" s="6" t="n">
        <v>15</v>
      </c>
      <c r="E8" s="6" t="n">
        <f aca="false">C8-D8</f>
        <v>3</v>
      </c>
      <c r="F8" s="7" t="n">
        <f aca="false">IF(C8=0,0,D8/C8)</f>
        <v>0.833333333333333</v>
      </c>
      <c r="G8" s="6" t="n">
        <v>12</v>
      </c>
      <c r="H8" s="6" t="n">
        <v>2</v>
      </c>
      <c r="I8" s="6" t="n">
        <v>1</v>
      </c>
      <c r="J8" s="6" t="n">
        <v>0</v>
      </c>
      <c r="K8" s="6" t="n">
        <v>0</v>
      </c>
    </row>
    <row r="9" customFormat="false" ht="15" hidden="false" customHeight="false" outlineLevel="0" collapsed="false">
      <c r="A9" s="6" t="n">
        <v>5</v>
      </c>
      <c r="B9" s="29" t="s">
        <v>93</v>
      </c>
      <c r="C9" s="6" t="n">
        <v>65</v>
      </c>
      <c r="D9" s="6" t="n">
        <v>60</v>
      </c>
      <c r="E9" s="6" t="n">
        <f aca="false">C9-D9</f>
        <v>5</v>
      </c>
      <c r="F9" s="7" t="n">
        <f aca="false">IF(C9=0,0,D9/C9)</f>
        <v>0.923076923076923</v>
      </c>
      <c r="G9" s="6" t="n">
        <v>55</v>
      </c>
      <c r="H9" s="6" t="n">
        <v>3</v>
      </c>
      <c r="I9" s="6" t="n">
        <v>2</v>
      </c>
      <c r="J9" s="6" t="n">
        <v>0</v>
      </c>
      <c r="K9" s="6" t="n">
        <v>0</v>
      </c>
    </row>
    <row r="10" customFormat="false" ht="15" hidden="false" customHeight="false" outlineLevel="0" collapsed="false">
      <c r="A10" s="6" t="n">
        <v>6</v>
      </c>
      <c r="B10" s="29" t="s">
        <v>94</v>
      </c>
      <c r="C10" s="6" t="n">
        <v>36</v>
      </c>
      <c r="D10" s="6" t="n">
        <v>32</v>
      </c>
      <c r="E10" s="6" t="n">
        <f aca="false">C10-D10</f>
        <v>4</v>
      </c>
      <c r="F10" s="7" t="n">
        <f aca="false">IF(C10=0,0,D10/C10)</f>
        <v>0.888888888888889</v>
      </c>
      <c r="G10" s="6" t="n">
        <v>28</v>
      </c>
      <c r="H10" s="6" t="n">
        <v>2</v>
      </c>
      <c r="I10" s="6" t="n">
        <v>1</v>
      </c>
      <c r="J10" s="6" t="n">
        <v>1</v>
      </c>
      <c r="K10" s="6" t="n">
        <v>0</v>
      </c>
    </row>
    <row r="11" customFormat="false" ht="15" hidden="false" customHeight="false" outlineLevel="0" collapsed="false">
      <c r="A11" s="6" t="n">
        <v>7</v>
      </c>
      <c r="B11" s="29" t="s">
        <v>95</v>
      </c>
      <c r="C11" s="6" t="n">
        <v>12</v>
      </c>
      <c r="D11" s="6" t="n">
        <v>10</v>
      </c>
      <c r="E11" s="6" t="n">
        <f aca="false">C11-D11</f>
        <v>2</v>
      </c>
      <c r="F11" s="7" t="n">
        <f aca="false">IF(C11=0,0,D11/C11)</f>
        <v>0.833333333333333</v>
      </c>
      <c r="G11" s="6" t="n">
        <v>9</v>
      </c>
      <c r="H11" s="6" t="n">
        <v>1</v>
      </c>
      <c r="I11" s="6" t="n">
        <v>0</v>
      </c>
      <c r="J11" s="6" t="n">
        <v>0</v>
      </c>
      <c r="K11" s="6" t="n">
        <v>0</v>
      </c>
    </row>
    <row r="12" customFormat="false" ht="15" hidden="false" customHeight="false" outlineLevel="0" collapsed="false">
      <c r="A12" s="6" t="n">
        <v>8</v>
      </c>
      <c r="B12" s="29" t="s">
        <v>96</v>
      </c>
      <c r="C12" s="6" t="n">
        <v>8</v>
      </c>
      <c r="D12" s="6" t="n">
        <v>7</v>
      </c>
      <c r="E12" s="6" t="n">
        <f aca="false">C12-D12</f>
        <v>1</v>
      </c>
      <c r="F12" s="7" t="n">
        <f aca="false">IF(C12=0,0,D12/C12)</f>
        <v>0.875</v>
      </c>
      <c r="G12" s="6" t="n">
        <v>6</v>
      </c>
      <c r="H12" s="6" t="n">
        <v>1</v>
      </c>
      <c r="I12" s="6" t="n">
        <v>0</v>
      </c>
      <c r="J12" s="6" t="n">
        <v>0</v>
      </c>
      <c r="K12" s="6" t="n">
        <v>0</v>
      </c>
    </row>
    <row r="13" customFormat="false" ht="15" hidden="false" customHeight="false" outlineLevel="0" collapsed="false">
      <c r="A13" s="6" t="n">
        <v>9</v>
      </c>
      <c r="B13" s="29" t="s">
        <v>97</v>
      </c>
      <c r="C13" s="6" t="n">
        <v>12</v>
      </c>
      <c r="D13" s="6" t="n">
        <v>10</v>
      </c>
      <c r="E13" s="6" t="n">
        <f aca="false">C13-D13</f>
        <v>2</v>
      </c>
      <c r="F13" s="7" t="n">
        <f aca="false">IF(C13=0,0,D13/C13)</f>
        <v>0.833333333333333</v>
      </c>
      <c r="G13" s="6" t="n">
        <v>8</v>
      </c>
      <c r="H13" s="6" t="n">
        <v>1</v>
      </c>
      <c r="I13" s="6" t="n">
        <v>1</v>
      </c>
      <c r="J13" s="6" t="n">
        <v>0</v>
      </c>
      <c r="K13" s="6" t="n">
        <v>0</v>
      </c>
    </row>
    <row r="14" customFormat="false" ht="28.35" hidden="false" customHeight="false" outlineLevel="0" collapsed="false">
      <c r="A14" s="6" t="n">
        <v>10</v>
      </c>
      <c r="B14" s="29" t="s">
        <v>98</v>
      </c>
      <c r="C14" s="6" t="n">
        <v>8</v>
      </c>
      <c r="D14" s="6" t="n">
        <v>6</v>
      </c>
      <c r="E14" s="6" t="n">
        <f aca="false">C14-D14</f>
        <v>2</v>
      </c>
      <c r="F14" s="7" t="n">
        <f aca="false">IF(C14=0,0,D14/C14)</f>
        <v>0.75</v>
      </c>
      <c r="G14" s="6" t="n">
        <v>5</v>
      </c>
      <c r="H14" s="6" t="n">
        <v>1</v>
      </c>
      <c r="I14" s="6" t="n">
        <v>0</v>
      </c>
      <c r="J14" s="6" t="n">
        <v>0</v>
      </c>
      <c r="K14" s="6" t="n">
        <v>0</v>
      </c>
    </row>
    <row r="15" customFormat="false" ht="15" hidden="false" customHeight="false" outlineLevel="0" collapsed="false">
      <c r="A15" s="6" t="n">
        <v>11</v>
      </c>
      <c r="B15" s="29" t="s">
        <v>99</v>
      </c>
      <c r="C15" s="6" t="n">
        <v>25</v>
      </c>
      <c r="D15" s="6" t="n">
        <v>22</v>
      </c>
      <c r="E15" s="6" t="n">
        <f aca="false">C15-D15</f>
        <v>3</v>
      </c>
      <c r="F15" s="7" t="n">
        <f aca="false">IF(C15=0,0,D15/C15)</f>
        <v>0.88</v>
      </c>
      <c r="G15" s="6" t="n">
        <v>20</v>
      </c>
      <c r="H15" s="6" t="n">
        <v>2</v>
      </c>
      <c r="I15" s="6" t="n">
        <v>0</v>
      </c>
      <c r="J15" s="6" t="n">
        <v>0</v>
      </c>
      <c r="K15" s="6" t="n">
        <v>0</v>
      </c>
    </row>
    <row r="16" customFormat="false" ht="15" hidden="false" customHeight="false" outlineLevel="0" collapsed="false">
      <c r="A16" s="23"/>
      <c r="B16" s="23" t="s">
        <v>100</v>
      </c>
      <c r="C16" s="23" t="n">
        <f aca="false">SUM(C5:C15)</f>
        <v>837</v>
      </c>
      <c r="D16" s="23" t="n">
        <f aca="false">SUM(D5:D15)</f>
        <v>767</v>
      </c>
      <c r="E16" s="23" t="n">
        <f aca="false">C16-D16</f>
        <v>70</v>
      </c>
      <c r="F16" s="30" t="n">
        <f aca="false">IF(C16=0,0,D16/C16)</f>
        <v>0.91636798088411</v>
      </c>
      <c r="G16" s="23" t="n">
        <f aca="false">SUM(G5:G15)</f>
        <v>653</v>
      </c>
      <c r="H16" s="23" t="n">
        <f aca="false">SUM(H5:H15)</f>
        <v>70</v>
      </c>
      <c r="I16" s="23" t="n">
        <f aca="false">SUM(I5:I15)</f>
        <v>30</v>
      </c>
      <c r="J16" s="23" t="n">
        <f aca="false">SUM(J5:J15)</f>
        <v>12</v>
      </c>
      <c r="K16" s="23" t="n">
        <f aca="false">SUM(K5:K15)</f>
        <v>2</v>
      </c>
    </row>
    <row r="18" customFormat="false" ht="15" hidden="false" customHeight="true" outlineLevel="0" collapsed="false">
      <c r="A18" s="33" t="s">
        <v>101</v>
      </c>
      <c r="B18" s="33"/>
      <c r="C18" s="33"/>
      <c r="D18" s="33"/>
      <c r="E18" s="33"/>
      <c r="F18" s="33"/>
      <c r="G18" s="33"/>
      <c r="H18" s="33"/>
      <c r="I18" s="33"/>
      <c r="J18" s="33"/>
      <c r="K18" s="33"/>
    </row>
    <row r="19" customFormat="false" ht="15" hidden="false" customHeight="false" outlineLevel="0" collapsed="false">
      <c r="A19" s="33"/>
      <c r="B19" s="33"/>
      <c r="C19" s="33"/>
      <c r="D19" s="33"/>
      <c r="E19" s="33"/>
      <c r="F19" s="33"/>
      <c r="G19" s="33"/>
      <c r="H19" s="33"/>
      <c r="I19" s="33"/>
      <c r="J19" s="33"/>
      <c r="K19" s="33"/>
    </row>
    <row r="20" customFormat="false" ht="15" hidden="false" customHeight="false" outlineLevel="0" collapsed="false">
      <c r="A20" s="33"/>
      <c r="B20" s="33"/>
      <c r="C20" s="33"/>
      <c r="D20" s="33"/>
      <c r="E20" s="33"/>
      <c r="F20" s="33"/>
      <c r="G20" s="33"/>
      <c r="H20" s="33"/>
      <c r="I20" s="33"/>
      <c r="J20" s="33"/>
      <c r="K20" s="33"/>
    </row>
  </sheetData>
  <mergeCells count="3">
    <mergeCell ref="A1:K1"/>
    <mergeCell ref="A2:K2"/>
    <mergeCell ref="A18:K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3" min="3" style="0" width="12"/>
    <col collapsed="false" customWidth="true" hidden="false" outlineLevel="0" max="4" min="4" style="0" width="10"/>
    <col collapsed="false" customWidth="true" hidden="false" outlineLevel="0" max="5" min="5" style="0" width="12"/>
    <col collapsed="false" customWidth="true" hidden="false" outlineLevel="0" max="6" min="6" style="0" width="13"/>
    <col collapsed="false" customWidth="true" hidden="false" outlineLevel="0" max="7" min="7" style="0" width="11"/>
    <col collapsed="false" customWidth="true" hidden="false" outlineLevel="0" max="8" min="8" style="0" width="14"/>
  </cols>
  <sheetData>
    <row r="1" customFormat="false" ht="25.5" hidden="false" customHeight="true" outlineLevel="0" collapsed="false">
      <c r="A1" s="1" t="s">
        <v>102</v>
      </c>
      <c r="B1" s="1"/>
      <c r="C1" s="1"/>
      <c r="D1" s="1"/>
      <c r="E1" s="1"/>
      <c r="F1" s="1"/>
      <c r="G1" s="1"/>
      <c r="H1" s="1"/>
    </row>
    <row r="2" customFormat="false" ht="15" hidden="false" customHeight="true" outlineLevel="0" collapsed="false">
      <c r="A2" s="2" t="s">
        <v>49</v>
      </c>
      <c r="B2" s="2"/>
      <c r="C2" s="2"/>
      <c r="D2" s="2"/>
      <c r="E2" s="2"/>
      <c r="F2" s="2"/>
      <c r="G2" s="2"/>
      <c r="H2" s="2"/>
    </row>
    <row r="4" customFormat="false" ht="26.85" hidden="false" customHeight="false" outlineLevel="0" collapsed="false">
      <c r="A4" s="4" t="s">
        <v>51</v>
      </c>
      <c r="B4" s="4" t="s">
        <v>103</v>
      </c>
      <c r="C4" s="4" t="s">
        <v>4</v>
      </c>
      <c r="D4" s="4" t="s">
        <v>53</v>
      </c>
      <c r="E4" s="4" t="s">
        <v>73</v>
      </c>
      <c r="F4" s="4" t="s">
        <v>104</v>
      </c>
      <c r="G4" s="4" t="s">
        <v>83</v>
      </c>
      <c r="H4" s="4" t="s">
        <v>57</v>
      </c>
    </row>
    <row r="5" customFormat="false" ht="15" hidden="false" customHeight="false" outlineLevel="0" collapsed="false">
      <c r="A5" s="6" t="n">
        <v>1</v>
      </c>
      <c r="B5" s="29" t="s">
        <v>105</v>
      </c>
      <c r="C5" s="6" t="n">
        <v>24</v>
      </c>
      <c r="D5" s="6" t="n">
        <v>18</v>
      </c>
      <c r="E5" s="6" t="n">
        <v>15</v>
      </c>
      <c r="F5" s="6" t="n">
        <v>3</v>
      </c>
      <c r="G5" s="7" t="n">
        <f aca="false">IF(C5=0,0,D5/C5)</f>
        <v>0.75</v>
      </c>
      <c r="H5" s="7" t="n">
        <f aca="false">IF(D5=0,0,E5/D5)</f>
        <v>0.833333333333333</v>
      </c>
    </row>
    <row r="6" customFormat="false" ht="15" hidden="false" customHeight="false" outlineLevel="0" collapsed="false">
      <c r="A6" s="6" t="n">
        <v>2</v>
      </c>
      <c r="B6" s="29" t="s">
        <v>106</v>
      </c>
      <c r="C6" s="6" t="n">
        <v>18</v>
      </c>
      <c r="D6" s="6" t="n">
        <v>14</v>
      </c>
      <c r="E6" s="6" t="n">
        <v>12</v>
      </c>
      <c r="F6" s="6" t="n">
        <v>2</v>
      </c>
      <c r="G6" s="7" t="n">
        <f aca="false">IF(C6=0,0,D6/C6)</f>
        <v>0.777777777777778</v>
      </c>
      <c r="H6" s="7" t="n">
        <f aca="false">IF(D6=0,0,E6/D6)</f>
        <v>0.857142857142857</v>
      </c>
    </row>
    <row r="7" customFormat="false" ht="15" hidden="false" customHeight="false" outlineLevel="0" collapsed="false">
      <c r="A7" s="6" t="n">
        <v>3</v>
      </c>
      <c r="B7" s="29" t="s">
        <v>107</v>
      </c>
      <c r="C7" s="6" t="n">
        <v>30</v>
      </c>
      <c r="D7" s="6" t="n">
        <v>25</v>
      </c>
      <c r="E7" s="6" t="n">
        <v>22</v>
      </c>
      <c r="F7" s="6" t="n">
        <v>3</v>
      </c>
      <c r="G7" s="7" t="n">
        <f aca="false">IF(C7=0,0,D7/C7)</f>
        <v>0.833333333333333</v>
      </c>
      <c r="H7" s="7" t="n">
        <f aca="false">IF(D7=0,0,E7/D7)</f>
        <v>0.88</v>
      </c>
    </row>
    <row r="8" customFormat="false" ht="15" hidden="false" customHeight="false" outlineLevel="0" collapsed="false">
      <c r="A8" s="6" t="n">
        <v>4</v>
      </c>
      <c r="B8" s="29" t="s">
        <v>108</v>
      </c>
      <c r="C8" s="6" t="n">
        <v>12</v>
      </c>
      <c r="D8" s="6" t="n">
        <v>9</v>
      </c>
      <c r="E8" s="6" t="n">
        <v>7</v>
      </c>
      <c r="F8" s="6" t="n">
        <v>2</v>
      </c>
      <c r="G8" s="7" t="n">
        <f aca="false">IF(C8=0,0,D8/C8)</f>
        <v>0.75</v>
      </c>
      <c r="H8" s="7" t="n">
        <f aca="false">IF(D8=0,0,E8/D8)</f>
        <v>0.777777777777778</v>
      </c>
    </row>
    <row r="9" customFormat="false" ht="15" hidden="false" customHeight="false" outlineLevel="0" collapsed="false">
      <c r="A9" s="6" t="n">
        <v>5</v>
      </c>
      <c r="B9" s="29" t="s">
        <v>109</v>
      </c>
      <c r="C9" s="6" t="n">
        <v>16</v>
      </c>
      <c r="D9" s="6" t="n">
        <v>13</v>
      </c>
      <c r="E9" s="6" t="n">
        <v>12</v>
      </c>
      <c r="F9" s="6" t="n">
        <v>1</v>
      </c>
      <c r="G9" s="7" t="n">
        <f aca="false">IF(C9=0,0,D9/C9)</f>
        <v>0.8125</v>
      </c>
      <c r="H9" s="7" t="n">
        <f aca="false">IF(D9=0,0,E9/D9)</f>
        <v>0.923076923076923</v>
      </c>
    </row>
    <row r="10" customFormat="false" ht="15" hidden="false" customHeight="false" outlineLevel="0" collapsed="false">
      <c r="A10" s="6" t="n">
        <v>6</v>
      </c>
      <c r="B10" s="29" t="s">
        <v>110</v>
      </c>
      <c r="C10" s="6" t="n">
        <v>20</v>
      </c>
      <c r="D10" s="6" t="n">
        <v>16</v>
      </c>
      <c r="E10" s="6" t="n">
        <v>14</v>
      </c>
      <c r="F10" s="6" t="n">
        <v>2</v>
      </c>
      <c r="G10" s="7" t="n">
        <f aca="false">IF(C10=0,0,D10/C10)</f>
        <v>0.8</v>
      </c>
      <c r="H10" s="7" t="n">
        <f aca="false">IF(D10=0,0,E10/D10)</f>
        <v>0.875</v>
      </c>
    </row>
    <row r="11" customFormat="false" ht="15" hidden="false" customHeight="false" outlineLevel="0" collapsed="false">
      <c r="A11" s="6" t="n">
        <v>7</v>
      </c>
      <c r="B11" s="29" t="s">
        <v>111</v>
      </c>
      <c r="C11" s="6" t="n">
        <v>45</v>
      </c>
      <c r="D11" s="6" t="n">
        <v>40</v>
      </c>
      <c r="E11" s="6" t="n">
        <v>38</v>
      </c>
      <c r="F11" s="6" t="n">
        <v>2</v>
      </c>
      <c r="G11" s="7" t="n">
        <f aca="false">IF(C11=0,0,D11/C11)</f>
        <v>0.888888888888889</v>
      </c>
      <c r="H11" s="7" t="n">
        <f aca="false">IF(D11=0,0,E11/D11)</f>
        <v>0.95</v>
      </c>
    </row>
    <row r="12" customFormat="false" ht="15" hidden="false" customHeight="false" outlineLevel="0" collapsed="false">
      <c r="A12" s="6" t="n">
        <v>8</v>
      </c>
      <c r="B12" s="29" t="s">
        <v>112</v>
      </c>
      <c r="C12" s="6" t="n">
        <v>55</v>
      </c>
      <c r="D12" s="6" t="n">
        <v>50</v>
      </c>
      <c r="E12" s="6" t="n">
        <v>48</v>
      </c>
      <c r="F12" s="6" t="n">
        <v>2</v>
      </c>
      <c r="G12" s="7" t="n">
        <f aca="false">IF(C12=0,0,D12/C12)</f>
        <v>0.909090909090909</v>
      </c>
      <c r="H12" s="7" t="n">
        <f aca="false">IF(D12=0,0,E12/D12)</f>
        <v>0.96</v>
      </c>
    </row>
    <row r="13" customFormat="false" ht="15" hidden="false" customHeight="false" outlineLevel="0" collapsed="false">
      <c r="A13" s="6" t="n">
        <v>9</v>
      </c>
      <c r="B13" s="29" t="s">
        <v>113</v>
      </c>
      <c r="C13" s="6" t="n">
        <v>28</v>
      </c>
      <c r="D13" s="6" t="n">
        <v>22</v>
      </c>
      <c r="E13" s="6" t="n">
        <v>20</v>
      </c>
      <c r="F13" s="6" t="n">
        <v>2</v>
      </c>
      <c r="G13" s="7" t="n">
        <f aca="false">IF(C13=0,0,D13/C13)</f>
        <v>0.785714285714286</v>
      </c>
      <c r="H13" s="7" t="n">
        <f aca="false">IF(D13=0,0,E13/D13)</f>
        <v>0.909090909090909</v>
      </c>
    </row>
    <row r="14" customFormat="false" ht="15" hidden="false" customHeight="false" outlineLevel="0" collapsed="false">
      <c r="A14" s="23"/>
      <c r="B14" s="23" t="s">
        <v>114</v>
      </c>
      <c r="C14" s="23" t="n">
        <f aca="false">SUM(C5:C13)</f>
        <v>248</v>
      </c>
      <c r="D14" s="23" t="n">
        <f aca="false">SUM(D5:D13)</f>
        <v>207</v>
      </c>
      <c r="E14" s="23" t="n">
        <f aca="false">SUM(E5:E13)</f>
        <v>188</v>
      </c>
      <c r="F14" s="23" t="n">
        <f aca="false">SUM(F5:F13)</f>
        <v>19</v>
      </c>
      <c r="G14" s="30" t="n">
        <f aca="false">IF(C14=0,0,D14/C14)</f>
        <v>0.834677419354839</v>
      </c>
      <c r="H14" s="30" t="n">
        <f aca="false">IF(D14=0,0,E14/D14)</f>
        <v>0.908212560386474</v>
      </c>
    </row>
    <row r="16" customFormat="false" ht="15" hidden="false" customHeight="false" outlineLevel="0" collapsed="false">
      <c r="A16" s="34" t="s">
        <v>115</v>
      </c>
      <c r="B16" s="34"/>
      <c r="C16" s="34"/>
      <c r="D16" s="34"/>
      <c r="E16" s="34"/>
      <c r="F16" s="34"/>
      <c r="G16" s="34"/>
      <c r="H16" s="34"/>
    </row>
    <row r="17" customFormat="false" ht="15" hidden="false" customHeight="false" outlineLevel="0" collapsed="false">
      <c r="A17" s="34"/>
      <c r="B17" s="34"/>
      <c r="C17" s="34"/>
      <c r="D17" s="34"/>
      <c r="E17" s="34"/>
      <c r="F17" s="34"/>
      <c r="G17" s="34"/>
      <c r="H17" s="34"/>
    </row>
  </sheetData>
  <mergeCells count="3">
    <mergeCell ref="A1:H1"/>
    <mergeCell ref="A2:H2"/>
    <mergeCell ref="A16: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6"/>
    <col collapsed="false" customWidth="true" hidden="false" outlineLevel="0" max="3" min="3" style="0" width="12"/>
    <col collapsed="false" customWidth="true" hidden="false" outlineLevel="0" max="4" min="4" style="0" width="10"/>
    <col collapsed="false" customWidth="true" hidden="false" outlineLevel="0" max="5" min="5" style="0" width="12"/>
    <col collapsed="false" customWidth="true" hidden="false" outlineLevel="0" max="6" min="6" style="0" width="16"/>
    <col collapsed="false" customWidth="true" hidden="false" outlineLevel="0" max="7" min="7" style="0" width="11"/>
    <col collapsed="false" customWidth="true" hidden="false" outlineLevel="0" max="8" min="8" style="0" width="14"/>
  </cols>
  <sheetData>
    <row r="1" customFormat="false" ht="25.5" hidden="false" customHeight="true" outlineLevel="0" collapsed="false">
      <c r="A1" s="1" t="s">
        <v>116</v>
      </c>
      <c r="B1" s="1"/>
      <c r="C1" s="1"/>
      <c r="D1" s="1"/>
      <c r="E1" s="1"/>
      <c r="F1" s="1"/>
      <c r="G1" s="1"/>
      <c r="H1" s="1"/>
    </row>
    <row r="2" customFormat="false" ht="15" hidden="false" customHeight="true" outlineLevel="0" collapsed="false">
      <c r="A2" s="2" t="s">
        <v>49</v>
      </c>
      <c r="B2" s="2"/>
      <c r="C2" s="2"/>
      <c r="D2" s="2"/>
      <c r="E2" s="2"/>
      <c r="F2" s="2"/>
      <c r="G2" s="2"/>
      <c r="H2" s="2"/>
    </row>
    <row r="4" customFormat="false" ht="26.85" hidden="false" customHeight="false" outlineLevel="0" collapsed="false">
      <c r="A4" s="4" t="s">
        <v>51</v>
      </c>
      <c r="B4" s="4" t="s">
        <v>103</v>
      </c>
      <c r="C4" s="4" t="s">
        <v>4</v>
      </c>
      <c r="D4" s="4" t="s">
        <v>53</v>
      </c>
      <c r="E4" s="4" t="s">
        <v>73</v>
      </c>
      <c r="F4" s="4" t="s">
        <v>117</v>
      </c>
      <c r="G4" s="4" t="s">
        <v>83</v>
      </c>
      <c r="H4" s="4" t="s">
        <v>57</v>
      </c>
    </row>
    <row r="5" customFormat="false" ht="15" hidden="false" customHeight="false" outlineLevel="0" collapsed="false">
      <c r="A5" s="6" t="n">
        <v>1</v>
      </c>
      <c r="B5" s="29" t="s">
        <v>118</v>
      </c>
      <c r="C5" s="6" t="n">
        <v>28</v>
      </c>
      <c r="D5" s="6" t="n">
        <v>24</v>
      </c>
      <c r="E5" s="6" t="n">
        <v>21</v>
      </c>
      <c r="F5" s="6" t="n">
        <v>3</v>
      </c>
      <c r="G5" s="7" t="n">
        <f aca="false">IF(C5=0,0,D5/C5)</f>
        <v>0.857142857142857</v>
      </c>
      <c r="H5" s="7" t="n">
        <f aca="false">IF(D5=0,0,E5/D5)</f>
        <v>0.875</v>
      </c>
    </row>
    <row r="6" customFormat="false" ht="15" hidden="false" customHeight="false" outlineLevel="0" collapsed="false">
      <c r="A6" s="6" t="n">
        <v>2</v>
      </c>
      <c r="B6" s="29" t="s">
        <v>119</v>
      </c>
      <c r="C6" s="6" t="n">
        <v>35</v>
      </c>
      <c r="D6" s="6" t="n">
        <v>30</v>
      </c>
      <c r="E6" s="6" t="n">
        <v>28</v>
      </c>
      <c r="F6" s="6" t="n">
        <v>2</v>
      </c>
      <c r="G6" s="7" t="n">
        <f aca="false">IF(C6=0,0,D6/C6)</f>
        <v>0.857142857142857</v>
      </c>
      <c r="H6" s="7" t="n">
        <f aca="false">IF(D6=0,0,E6/D6)</f>
        <v>0.933333333333333</v>
      </c>
    </row>
    <row r="7" customFormat="false" ht="15" hidden="false" customHeight="false" outlineLevel="0" collapsed="false">
      <c r="A7" s="6" t="n">
        <v>3</v>
      </c>
      <c r="B7" s="29" t="s">
        <v>120</v>
      </c>
      <c r="C7" s="6" t="n">
        <v>18</v>
      </c>
      <c r="D7" s="6" t="n">
        <v>15</v>
      </c>
      <c r="E7" s="6" t="n">
        <v>14</v>
      </c>
      <c r="F7" s="6" t="n">
        <v>1</v>
      </c>
      <c r="G7" s="7" t="n">
        <f aca="false">IF(C7=0,0,D7/C7)</f>
        <v>0.833333333333333</v>
      </c>
      <c r="H7" s="7" t="n">
        <f aca="false">IF(D7=0,0,E7/D7)</f>
        <v>0.933333333333333</v>
      </c>
    </row>
    <row r="8" customFormat="false" ht="15" hidden="false" customHeight="false" outlineLevel="0" collapsed="false">
      <c r="A8" s="6" t="n">
        <v>4</v>
      </c>
      <c r="B8" s="29" t="s">
        <v>121</v>
      </c>
      <c r="C8" s="6" t="n">
        <v>8</v>
      </c>
      <c r="D8" s="6" t="n">
        <v>6</v>
      </c>
      <c r="E8" s="6" t="n">
        <v>5</v>
      </c>
      <c r="F8" s="6" t="n">
        <v>1</v>
      </c>
      <c r="G8" s="7" t="n">
        <f aca="false">IF(C8=0,0,D8/C8)</f>
        <v>0.75</v>
      </c>
      <c r="H8" s="7" t="n">
        <f aca="false">IF(D8=0,0,E8/D8)</f>
        <v>0.833333333333333</v>
      </c>
    </row>
    <row r="9" customFormat="false" ht="15" hidden="false" customHeight="false" outlineLevel="0" collapsed="false">
      <c r="A9" s="6" t="n">
        <v>5</v>
      </c>
      <c r="B9" s="29" t="s">
        <v>122</v>
      </c>
      <c r="C9" s="6" t="n">
        <v>6</v>
      </c>
      <c r="D9" s="6" t="n">
        <v>5</v>
      </c>
      <c r="E9" s="6" t="n">
        <v>4</v>
      </c>
      <c r="F9" s="6" t="n">
        <v>1</v>
      </c>
      <c r="G9" s="7" t="n">
        <f aca="false">IF(C9=0,0,D9/C9)</f>
        <v>0.833333333333333</v>
      </c>
      <c r="H9" s="7" t="n">
        <f aca="false">IF(D9=0,0,E9/D9)</f>
        <v>0.8</v>
      </c>
    </row>
    <row r="10" customFormat="false" ht="15" hidden="false" customHeight="false" outlineLevel="0" collapsed="false">
      <c r="A10" s="23"/>
      <c r="B10" s="23" t="s">
        <v>123</v>
      </c>
      <c r="C10" s="23" t="n">
        <f aca="false">SUM(C5:C9)</f>
        <v>95</v>
      </c>
      <c r="D10" s="23" t="n">
        <f aca="false">SUM(D5:D9)</f>
        <v>80</v>
      </c>
      <c r="E10" s="23" t="n">
        <f aca="false">SUM(E5:E9)</f>
        <v>72</v>
      </c>
      <c r="F10" s="23" t="n">
        <f aca="false">SUM(F5:F9)</f>
        <v>8</v>
      </c>
      <c r="G10" s="30" t="n">
        <f aca="false">IF(C10=0,0,D10/C10)</f>
        <v>0.842105263157895</v>
      </c>
      <c r="H10" s="30" t="n">
        <f aca="false">IF(D10=0,0,E10/D10)</f>
        <v>0.9</v>
      </c>
    </row>
    <row r="12" customFormat="false" ht="15" hidden="false" customHeight="false" outlineLevel="0" collapsed="false">
      <c r="A12" s="34" t="s">
        <v>124</v>
      </c>
      <c r="B12" s="34"/>
      <c r="C12" s="34"/>
      <c r="D12" s="34"/>
      <c r="E12" s="34"/>
      <c r="F12" s="34"/>
      <c r="G12" s="34"/>
      <c r="H12" s="34"/>
    </row>
    <row r="13" customFormat="false" ht="15" hidden="false" customHeight="false" outlineLevel="0" collapsed="false">
      <c r="A13" s="34"/>
      <c r="B13" s="34"/>
      <c r="C13" s="34"/>
      <c r="D13" s="34"/>
      <c r="E13" s="34"/>
      <c r="F13" s="34"/>
      <c r="G13" s="34"/>
      <c r="H13" s="34"/>
    </row>
  </sheetData>
  <mergeCells count="3">
    <mergeCell ref="A1:H1"/>
    <mergeCell ref="A2:H2"/>
    <mergeCell ref="A12:H1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5" min="3" style="0" width="12"/>
    <col collapsed="false" customWidth="true" hidden="false" outlineLevel="0" max="6" min="6" style="0" width="10"/>
    <col collapsed="false" customWidth="true" hidden="false" outlineLevel="0" max="7" min="7" style="0" width="12"/>
    <col collapsed="false" customWidth="true" hidden="false" outlineLevel="0" max="8" min="8" style="0" width="18"/>
  </cols>
  <sheetData>
    <row r="1" customFormat="false" ht="25.5" hidden="false" customHeight="true" outlineLevel="0" collapsed="false">
      <c r="A1" s="1" t="s">
        <v>125</v>
      </c>
      <c r="B1" s="1"/>
      <c r="C1" s="1"/>
      <c r="D1" s="1"/>
      <c r="E1" s="1"/>
      <c r="F1" s="1"/>
      <c r="G1" s="1"/>
      <c r="H1" s="1"/>
    </row>
    <row r="2" customFormat="false" ht="15" hidden="false" customHeight="true" outlineLevel="0" collapsed="false">
      <c r="A2" s="2" t="s">
        <v>126</v>
      </c>
      <c r="B2" s="2"/>
      <c r="C2" s="2"/>
      <c r="D2" s="2"/>
      <c r="E2" s="2"/>
      <c r="F2" s="2"/>
      <c r="G2" s="2"/>
      <c r="H2" s="2"/>
    </row>
    <row r="4" customFormat="false" ht="15" hidden="false" customHeight="true" outlineLevel="0" collapsed="false">
      <c r="A4" s="3" t="s">
        <v>127</v>
      </c>
      <c r="B4" s="3"/>
      <c r="C4" s="3"/>
      <c r="D4" s="3"/>
      <c r="E4" s="3"/>
      <c r="F4" s="3"/>
      <c r="G4" s="3"/>
      <c r="H4" s="3"/>
    </row>
    <row r="5" customFormat="false" ht="26.85" hidden="false" customHeight="false" outlineLevel="0" collapsed="false">
      <c r="A5" s="4" t="s">
        <v>51</v>
      </c>
      <c r="B5" s="4" t="s">
        <v>128</v>
      </c>
      <c r="C5" s="4" t="s">
        <v>4</v>
      </c>
      <c r="D5" s="4" t="s">
        <v>53</v>
      </c>
      <c r="E5" s="4" t="s">
        <v>58</v>
      </c>
      <c r="F5" s="4" t="s">
        <v>83</v>
      </c>
      <c r="G5" s="4" t="s">
        <v>129</v>
      </c>
      <c r="H5" s="4" t="s">
        <v>130</v>
      </c>
    </row>
    <row r="6" customFormat="false" ht="15" hidden="false" customHeight="false" outlineLevel="0" collapsed="false">
      <c r="A6" s="6" t="n">
        <v>1</v>
      </c>
      <c r="B6" s="29" t="s">
        <v>131</v>
      </c>
      <c r="C6" s="35" t="n">
        <v>180000</v>
      </c>
      <c r="D6" s="35" t="n">
        <v>152000</v>
      </c>
      <c r="E6" s="35" t="n">
        <f aca="false">C6-D6</f>
        <v>28000</v>
      </c>
      <c r="F6" s="7" t="n">
        <f aca="false">IF(C6=0,0,D6/C6)</f>
        <v>0.844444444444444</v>
      </c>
      <c r="G6" s="35" t="n">
        <v>95000</v>
      </c>
      <c r="H6" s="35" t="n">
        <v>57000</v>
      </c>
    </row>
    <row r="7" customFormat="false" ht="15" hidden="false" customHeight="false" outlineLevel="0" collapsed="false">
      <c r="A7" s="6" t="n">
        <v>2</v>
      </c>
      <c r="B7" s="29" t="s">
        <v>132</v>
      </c>
      <c r="C7" s="35" t="n">
        <v>25000</v>
      </c>
      <c r="D7" s="35" t="n">
        <v>21000</v>
      </c>
      <c r="E7" s="35" t="n">
        <f aca="false">C7-D7</f>
        <v>4000</v>
      </c>
      <c r="F7" s="7" t="n">
        <f aca="false">IF(C7=0,0,D7/C7)</f>
        <v>0.84</v>
      </c>
      <c r="G7" s="35" t="n">
        <v>14000</v>
      </c>
      <c r="H7" s="35" t="n">
        <v>7000</v>
      </c>
    </row>
    <row r="8" customFormat="false" ht="15" hidden="false" customHeight="false" outlineLevel="0" collapsed="false">
      <c r="A8" s="6" t="n">
        <v>3</v>
      </c>
      <c r="B8" s="29" t="s">
        <v>133</v>
      </c>
      <c r="C8" s="35" t="n">
        <v>45000</v>
      </c>
      <c r="D8" s="35" t="n">
        <v>38000</v>
      </c>
      <c r="E8" s="35" t="n">
        <f aca="false">C8-D8</f>
        <v>7000</v>
      </c>
      <c r="F8" s="7" t="n">
        <f aca="false">IF(C8=0,0,D8/C8)</f>
        <v>0.844444444444444</v>
      </c>
      <c r="G8" s="35" t="n">
        <v>25000</v>
      </c>
      <c r="H8" s="35" t="n">
        <v>13000</v>
      </c>
    </row>
    <row r="9" customFormat="false" ht="15" hidden="false" customHeight="false" outlineLevel="0" collapsed="false">
      <c r="A9" s="6" t="n">
        <v>4</v>
      </c>
      <c r="B9" s="29" t="s">
        <v>134</v>
      </c>
      <c r="C9" s="35" t="n">
        <v>18000</v>
      </c>
      <c r="D9" s="35" t="n">
        <v>14500</v>
      </c>
      <c r="E9" s="35" t="n">
        <f aca="false">C9-D9</f>
        <v>3500</v>
      </c>
      <c r="F9" s="7" t="n">
        <f aca="false">IF(C9=0,0,D9/C9)</f>
        <v>0.805555555555556</v>
      </c>
      <c r="G9" s="35" t="n">
        <v>9000</v>
      </c>
      <c r="H9" s="35" t="n">
        <v>5500</v>
      </c>
    </row>
    <row r="11" customFormat="false" ht="15" hidden="false" customHeight="true" outlineLevel="0" collapsed="false">
      <c r="A11" s="3" t="s">
        <v>135</v>
      </c>
      <c r="B11" s="3"/>
      <c r="C11" s="3"/>
      <c r="D11" s="3"/>
      <c r="E11" s="3"/>
      <c r="F11" s="3"/>
      <c r="G11" s="3"/>
      <c r="H11" s="3"/>
    </row>
    <row r="12" customFormat="false" ht="26.85" hidden="false" customHeight="false" outlineLevel="0" collapsed="false">
      <c r="A12" s="4" t="s">
        <v>51</v>
      </c>
      <c r="B12" s="4" t="s">
        <v>128</v>
      </c>
      <c r="C12" s="4" t="s">
        <v>4</v>
      </c>
      <c r="D12" s="4" t="s">
        <v>53</v>
      </c>
      <c r="E12" s="4" t="s">
        <v>58</v>
      </c>
      <c r="F12" s="4" t="s">
        <v>83</v>
      </c>
      <c r="G12" s="4" t="s">
        <v>129</v>
      </c>
      <c r="H12" s="4" t="s">
        <v>130</v>
      </c>
    </row>
    <row r="13" customFormat="false" ht="15" hidden="false" customHeight="false" outlineLevel="0" collapsed="false">
      <c r="A13" s="6" t="n">
        <v>1</v>
      </c>
      <c r="B13" s="29" t="s">
        <v>136</v>
      </c>
      <c r="C13" s="35" t="n">
        <v>420</v>
      </c>
      <c r="D13" s="35" t="n">
        <v>360</v>
      </c>
      <c r="E13" s="35" t="n">
        <f aca="false">C13-D13</f>
        <v>60</v>
      </c>
      <c r="F13" s="7" t="n">
        <f aca="false">IF(C13=0,0,D13/C13)</f>
        <v>0.857142857142857</v>
      </c>
      <c r="G13" s="35" t="n">
        <v>220</v>
      </c>
      <c r="H13" s="35" t="n">
        <v>140</v>
      </c>
    </row>
    <row r="14" customFormat="false" ht="15" hidden="false" customHeight="false" outlineLevel="0" collapsed="false">
      <c r="A14" s="6" t="n">
        <v>2</v>
      </c>
      <c r="B14" s="29" t="s">
        <v>137</v>
      </c>
      <c r="C14" s="35" t="n">
        <v>800</v>
      </c>
      <c r="D14" s="35" t="n">
        <v>680</v>
      </c>
      <c r="E14" s="35" t="n">
        <f aca="false">C14-D14</f>
        <v>120</v>
      </c>
      <c r="F14" s="7" t="n">
        <f aca="false">IF(C14=0,0,D14/C14)</f>
        <v>0.85</v>
      </c>
      <c r="G14" s="35" t="n">
        <v>400</v>
      </c>
      <c r="H14" s="35" t="n">
        <v>280</v>
      </c>
    </row>
    <row r="15" customFormat="false" ht="15" hidden="false" customHeight="false" outlineLevel="0" collapsed="false">
      <c r="A15" s="6" t="n">
        <v>3</v>
      </c>
      <c r="B15" s="29" t="s">
        <v>138</v>
      </c>
      <c r="C15" s="35" t="n">
        <v>650</v>
      </c>
      <c r="D15" s="35" t="n">
        <v>520</v>
      </c>
      <c r="E15" s="35" t="n">
        <f aca="false">C15-D15</f>
        <v>130</v>
      </c>
      <c r="F15" s="7" t="n">
        <f aca="false">IF(C15=0,0,D15/C15)</f>
        <v>0.8</v>
      </c>
      <c r="G15" s="35" t="n">
        <v>300</v>
      </c>
      <c r="H15" s="35" t="n">
        <v>220</v>
      </c>
    </row>
    <row r="16" customFormat="false" ht="15" hidden="false" customHeight="false" outlineLevel="0" collapsed="false">
      <c r="A16" s="6" t="n">
        <v>4</v>
      </c>
      <c r="B16" s="29" t="s">
        <v>139</v>
      </c>
      <c r="C16" s="35" t="n">
        <v>36</v>
      </c>
      <c r="D16" s="35" t="n">
        <v>28</v>
      </c>
      <c r="E16" s="35" t="n">
        <f aca="false">C16-D16</f>
        <v>8</v>
      </c>
      <c r="F16" s="7" t="n">
        <f aca="false">IF(C16=0,0,D16/C16)</f>
        <v>0.777777777777778</v>
      </c>
      <c r="G16" s="35" t="n">
        <v>16</v>
      </c>
      <c r="H16" s="35" t="n">
        <v>12</v>
      </c>
    </row>
    <row r="17" customFormat="false" ht="15" hidden="false" customHeight="false" outlineLevel="0" collapsed="false">
      <c r="A17" s="6" t="n">
        <v>5</v>
      </c>
      <c r="B17" s="29" t="s">
        <v>140</v>
      </c>
      <c r="C17" s="35" t="n">
        <v>1200</v>
      </c>
      <c r="D17" s="35" t="n">
        <v>980</v>
      </c>
      <c r="E17" s="35" t="n">
        <f aca="false">C17-D17</f>
        <v>220</v>
      </c>
      <c r="F17" s="7" t="n">
        <f aca="false">IF(C17=0,0,D17/C17)</f>
        <v>0.816666666666667</v>
      </c>
      <c r="G17" s="35" t="n">
        <v>600</v>
      </c>
      <c r="H17" s="35" t="n">
        <v>380</v>
      </c>
    </row>
    <row r="18" customFormat="false" ht="15" hidden="false" customHeight="false" outlineLevel="0" collapsed="false">
      <c r="A18" s="6" t="n">
        <v>6</v>
      </c>
      <c r="B18" s="29" t="s">
        <v>141</v>
      </c>
      <c r="C18" s="35" t="n">
        <v>450</v>
      </c>
      <c r="D18" s="35" t="n">
        <v>380</v>
      </c>
      <c r="E18" s="35" t="n">
        <f aca="false">C18-D18</f>
        <v>70</v>
      </c>
      <c r="F18" s="7" t="n">
        <f aca="false">IF(C18=0,0,D18/C18)</f>
        <v>0.844444444444444</v>
      </c>
      <c r="G18" s="35" t="n">
        <v>250</v>
      </c>
      <c r="H18" s="35" t="n">
        <v>130</v>
      </c>
    </row>
    <row r="20" customFormat="false" ht="15" hidden="false" customHeight="true" outlineLevel="0" collapsed="false">
      <c r="A20" s="36" t="s">
        <v>142</v>
      </c>
      <c r="B20" s="36"/>
      <c r="C20" s="36"/>
      <c r="D20" s="36"/>
      <c r="E20" s="36"/>
      <c r="F20" s="36"/>
      <c r="G20" s="36"/>
      <c r="H20" s="36"/>
    </row>
    <row r="21" customFormat="false" ht="15" hidden="false" customHeight="false" outlineLevel="0" collapsed="false">
      <c r="A21" s="36"/>
      <c r="B21" s="36"/>
      <c r="C21" s="36"/>
      <c r="D21" s="36"/>
      <c r="E21" s="36"/>
      <c r="F21" s="36"/>
      <c r="G21" s="36"/>
      <c r="H21" s="36"/>
    </row>
  </sheetData>
  <mergeCells count="5">
    <mergeCell ref="A1:H1"/>
    <mergeCell ref="A2:H2"/>
    <mergeCell ref="A4:H4"/>
    <mergeCell ref="A11:H11"/>
    <mergeCell ref="A20:H2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8"/>
    <col collapsed="false" customWidth="true" hidden="false" outlineLevel="0" max="4" min="3" style="0" width="20"/>
    <col collapsed="false" customWidth="true" hidden="false" outlineLevel="0" max="5" min="5" style="0" width="18"/>
    <col collapsed="false" customWidth="true" hidden="false" outlineLevel="0" max="6" min="6" style="0" width="40"/>
  </cols>
  <sheetData>
    <row r="1" customFormat="false" ht="25.5" hidden="false" customHeight="true" outlineLevel="0" collapsed="false">
      <c r="A1" s="1" t="s">
        <v>143</v>
      </c>
      <c r="B1" s="1"/>
      <c r="C1" s="1"/>
      <c r="D1" s="1"/>
      <c r="E1" s="1"/>
      <c r="F1" s="1"/>
    </row>
    <row r="2" customFormat="false" ht="15" hidden="false" customHeight="true" outlineLevel="0" collapsed="false">
      <c r="A2" s="2" t="s">
        <v>144</v>
      </c>
      <c r="B2" s="2"/>
      <c r="C2" s="2"/>
      <c r="D2" s="2"/>
      <c r="E2" s="2"/>
      <c r="F2" s="2"/>
    </row>
    <row r="4" customFormat="false" ht="26.85" hidden="false" customHeight="false" outlineLevel="0" collapsed="false">
      <c r="A4" s="4" t="s">
        <v>51</v>
      </c>
      <c r="B4" s="4" t="s">
        <v>19</v>
      </c>
      <c r="C4" s="4" t="s">
        <v>145</v>
      </c>
      <c r="D4" s="4" t="s">
        <v>146</v>
      </c>
      <c r="E4" s="4" t="s">
        <v>147</v>
      </c>
      <c r="F4" s="4" t="s">
        <v>23</v>
      </c>
    </row>
    <row r="5" customFormat="false" ht="15" hidden="false" customHeight="false" outlineLevel="0" collapsed="false">
      <c r="A5" s="6" t="n">
        <v>1</v>
      </c>
      <c r="B5" s="29" t="s">
        <v>148</v>
      </c>
      <c r="C5" s="35" t="n">
        <v>18500</v>
      </c>
      <c r="D5" s="35" t="n">
        <v>22000</v>
      </c>
      <c r="E5" s="35" t="n">
        <f aca="false">D5-C5</f>
        <v>3500</v>
      </c>
      <c r="F5" s="29" t="s">
        <v>149</v>
      </c>
    </row>
    <row r="6" customFormat="false" ht="15" hidden="false" customHeight="false" outlineLevel="0" collapsed="false">
      <c r="A6" s="6" t="n">
        <v>2</v>
      </c>
      <c r="B6" s="29" t="s">
        <v>150</v>
      </c>
      <c r="C6" s="35" t="n">
        <v>12500</v>
      </c>
      <c r="D6" s="35" t="n">
        <v>15000</v>
      </c>
      <c r="E6" s="35" t="n">
        <f aca="false">D6-C6</f>
        <v>2500</v>
      </c>
      <c r="F6" s="29" t="s">
        <v>151</v>
      </c>
    </row>
    <row r="7" customFormat="false" ht="15" hidden="false" customHeight="false" outlineLevel="0" collapsed="false">
      <c r="A7" s="6" t="n">
        <v>3</v>
      </c>
      <c r="B7" s="29" t="s">
        <v>152</v>
      </c>
      <c r="C7" s="35" t="n">
        <v>8200</v>
      </c>
      <c r="D7" s="35" t="n">
        <v>10000</v>
      </c>
      <c r="E7" s="35" t="n">
        <f aca="false">D7-C7</f>
        <v>1800</v>
      </c>
      <c r="F7" s="29" t="s">
        <v>153</v>
      </c>
    </row>
    <row r="8" customFormat="false" ht="15" hidden="false" customHeight="false" outlineLevel="0" collapsed="false">
      <c r="A8" s="23"/>
      <c r="B8" s="23" t="s">
        <v>154</v>
      </c>
      <c r="C8" s="37" t="n">
        <f aca="false">SUM(C5:C7)</f>
        <v>39200</v>
      </c>
      <c r="D8" s="37" t="n">
        <f aca="false">SUM(D5:D7)</f>
        <v>47000</v>
      </c>
      <c r="E8" s="37" t="n">
        <f aca="false">D8-C8</f>
        <v>7800</v>
      </c>
      <c r="F8" s="23"/>
    </row>
    <row r="10" customFormat="false" ht="15" hidden="false" customHeight="true" outlineLevel="0" collapsed="false">
      <c r="A10" s="28" t="s">
        <v>155</v>
      </c>
      <c r="B10" s="28"/>
      <c r="C10" s="28"/>
      <c r="D10" s="28"/>
      <c r="E10" s="28"/>
      <c r="F10" s="28"/>
    </row>
    <row r="11" customFormat="false" ht="15" hidden="false" customHeight="false" outlineLevel="0" collapsed="false">
      <c r="A11" s="28"/>
      <c r="B11" s="28"/>
      <c r="C11" s="28"/>
      <c r="D11" s="28"/>
      <c r="E11" s="28"/>
      <c r="F11" s="28"/>
    </row>
    <row r="12" customFormat="false" ht="15" hidden="false" customHeight="false" outlineLevel="0" collapsed="false">
      <c r="A12" s="28"/>
      <c r="B12" s="28"/>
      <c r="C12" s="28"/>
      <c r="D12" s="28"/>
      <c r="E12" s="28"/>
      <c r="F12" s="28"/>
    </row>
  </sheetData>
  <mergeCells count="3">
    <mergeCell ref="A1:F1"/>
    <mergeCell ref="A2:F2"/>
    <mergeCell ref="A10:F1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14"/>
    <col collapsed="false" customWidth="true" hidden="false" outlineLevel="0" max="4" min="4" style="0" width="16"/>
    <col collapsed="false" customWidth="true" hidden="false" outlineLevel="0" max="5" min="5" style="0" width="18"/>
    <col collapsed="false" customWidth="true" hidden="false" outlineLevel="0" max="6" min="6" style="0" width="28"/>
    <col collapsed="false" customWidth="true" hidden="false" outlineLevel="0" max="7" min="7" style="0" width="32"/>
  </cols>
  <sheetData>
    <row r="1" customFormat="false" ht="25.5" hidden="false" customHeight="true" outlineLevel="0" collapsed="false">
      <c r="A1" s="1" t="s">
        <v>156</v>
      </c>
      <c r="B1" s="1"/>
      <c r="C1" s="1"/>
      <c r="D1" s="1"/>
      <c r="E1" s="1"/>
      <c r="F1" s="1"/>
      <c r="G1" s="1"/>
    </row>
    <row r="2" customFormat="false" ht="15" hidden="false" customHeight="true" outlineLevel="0" collapsed="false">
      <c r="A2" s="2" t="s">
        <v>49</v>
      </c>
      <c r="B2" s="2"/>
      <c r="C2" s="2"/>
      <c r="D2" s="2"/>
      <c r="E2" s="2"/>
      <c r="F2" s="2"/>
      <c r="G2" s="2"/>
    </row>
    <row r="4" customFormat="false" ht="26.85" hidden="false" customHeight="false" outlineLevel="0" collapsed="false">
      <c r="A4" s="4" t="s">
        <v>51</v>
      </c>
      <c r="B4" s="4" t="s">
        <v>19</v>
      </c>
      <c r="C4" s="4" t="s">
        <v>157</v>
      </c>
      <c r="D4" s="4" t="s">
        <v>158</v>
      </c>
      <c r="E4" s="4" t="s">
        <v>159</v>
      </c>
      <c r="F4" s="4" t="s">
        <v>160</v>
      </c>
      <c r="G4" s="4" t="s">
        <v>23</v>
      </c>
    </row>
    <row r="5" customFormat="false" ht="15" hidden="false" customHeight="false" outlineLevel="0" collapsed="false">
      <c r="A5" s="38" t="n">
        <v>1</v>
      </c>
      <c r="B5" s="39" t="s">
        <v>161</v>
      </c>
      <c r="C5" s="38" t="n">
        <v>3</v>
      </c>
      <c r="D5" s="38" t="s">
        <v>162</v>
      </c>
      <c r="E5" s="40" t="n">
        <v>1250000</v>
      </c>
      <c r="F5" s="39" t="s">
        <v>163</v>
      </c>
      <c r="G5" s="39" t="s">
        <v>164</v>
      </c>
    </row>
    <row r="6" customFormat="false" ht="28.35" hidden="false" customHeight="false" outlineLevel="0" collapsed="false">
      <c r="A6" s="41" t="n">
        <v>2</v>
      </c>
      <c r="B6" s="42" t="s">
        <v>165</v>
      </c>
      <c r="C6" s="41" t="n">
        <v>7</v>
      </c>
      <c r="D6" s="41" t="s">
        <v>166</v>
      </c>
      <c r="E6" s="43" t="n">
        <v>185000</v>
      </c>
      <c r="F6" s="42" t="s">
        <v>167</v>
      </c>
      <c r="G6" s="42" t="s">
        <v>168</v>
      </c>
    </row>
    <row r="7" customFormat="false" ht="15" hidden="false" customHeight="false" outlineLevel="0" collapsed="false">
      <c r="A7" s="44" t="n">
        <v>3</v>
      </c>
      <c r="B7" s="45" t="s">
        <v>169</v>
      </c>
      <c r="C7" s="44" t="n">
        <v>12</v>
      </c>
      <c r="D7" s="44" t="s">
        <v>170</v>
      </c>
      <c r="E7" s="46" t="n">
        <v>45000</v>
      </c>
      <c r="F7" s="45" t="s">
        <v>171</v>
      </c>
      <c r="G7" s="45" t="s">
        <v>172</v>
      </c>
    </row>
    <row r="8" customFormat="false" ht="15" hidden="false" customHeight="false" outlineLevel="0" collapsed="false">
      <c r="A8" s="23"/>
      <c r="B8" s="23" t="s">
        <v>173</v>
      </c>
      <c r="C8" s="23" t="n">
        <f aca="false">SUM(C5:C7)</f>
        <v>22</v>
      </c>
      <c r="D8" s="23"/>
      <c r="E8" s="37" t="n">
        <f aca="false">SUM(E5:E7)</f>
        <v>1480000</v>
      </c>
      <c r="F8" s="23"/>
      <c r="G8" s="23"/>
    </row>
    <row r="10" customFormat="false" ht="15" hidden="false" customHeight="false" outlineLevel="0" collapsed="false">
      <c r="A10" s="34" t="s">
        <v>174</v>
      </c>
      <c r="B10" s="34"/>
      <c r="C10" s="34"/>
      <c r="D10" s="34"/>
      <c r="E10" s="34"/>
      <c r="F10" s="34"/>
      <c r="G10" s="34"/>
    </row>
    <row r="11" customFormat="false" ht="15" hidden="false" customHeight="false" outlineLevel="0" collapsed="false">
      <c r="A11" s="34"/>
      <c r="B11" s="34"/>
      <c r="C11" s="34"/>
      <c r="D11" s="34"/>
      <c r="E11" s="34"/>
      <c r="F11" s="34"/>
      <c r="G11" s="34"/>
    </row>
  </sheetData>
  <mergeCells count="3">
    <mergeCell ref="A1:G1"/>
    <mergeCell ref="A2:G2"/>
    <mergeCell ref="A10:G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2"/>
    <col collapsed="false" customWidth="true" hidden="false" outlineLevel="0" max="3" min="3" style="0" width="12"/>
    <col collapsed="false" customWidth="true" hidden="false" outlineLevel="0" max="4" min="4" style="0" width="16"/>
    <col collapsed="false" customWidth="true" hidden="false" outlineLevel="0" max="5" min="5" style="0" width="22"/>
    <col collapsed="false" customWidth="true" hidden="false" outlineLevel="0" max="6" min="6" style="0" width="18"/>
    <col collapsed="false" customWidth="true" hidden="false" outlineLevel="0" max="7" min="7" style="0" width="32"/>
  </cols>
  <sheetData>
    <row r="1" customFormat="false" ht="25.5" hidden="false" customHeight="true" outlineLevel="0" collapsed="false">
      <c r="A1" s="1" t="s">
        <v>175</v>
      </c>
      <c r="B1" s="1"/>
      <c r="C1" s="1"/>
      <c r="D1" s="1"/>
      <c r="E1" s="1"/>
      <c r="F1" s="1"/>
      <c r="G1" s="1"/>
    </row>
    <row r="2" customFormat="false" ht="15" hidden="false" customHeight="true" outlineLevel="0" collapsed="false">
      <c r="A2" s="2" t="s">
        <v>49</v>
      </c>
      <c r="B2" s="2"/>
      <c r="C2" s="2"/>
      <c r="D2" s="2"/>
      <c r="E2" s="2"/>
      <c r="F2" s="2"/>
      <c r="G2" s="2"/>
    </row>
    <row r="4" customFormat="false" ht="15" hidden="false" customHeight="false" outlineLevel="0" collapsed="false">
      <c r="A4" s="4" t="s">
        <v>51</v>
      </c>
      <c r="B4" s="4" t="s">
        <v>176</v>
      </c>
      <c r="C4" s="4" t="s">
        <v>177</v>
      </c>
      <c r="D4" s="4" t="s">
        <v>178</v>
      </c>
      <c r="E4" s="4" t="s">
        <v>179</v>
      </c>
      <c r="F4" s="4" t="s">
        <v>180</v>
      </c>
      <c r="G4" s="4" t="s">
        <v>181</v>
      </c>
    </row>
    <row r="5" customFormat="false" ht="15" hidden="false" customHeight="false" outlineLevel="0" collapsed="false">
      <c r="A5" s="6" t="n">
        <v>1</v>
      </c>
      <c r="B5" s="29" t="s">
        <v>182</v>
      </c>
      <c r="C5" s="6" t="s">
        <v>183</v>
      </c>
      <c r="D5" s="6" t="s">
        <v>184</v>
      </c>
      <c r="E5" s="29" t="s">
        <v>185</v>
      </c>
      <c r="F5" s="29" t="s">
        <v>186</v>
      </c>
      <c r="G5" s="29" t="s">
        <v>187</v>
      </c>
    </row>
    <row r="6" customFormat="false" ht="15" hidden="false" customHeight="false" outlineLevel="0" collapsed="false">
      <c r="A6" s="47" t="n">
        <v>2</v>
      </c>
      <c r="B6" s="48" t="s">
        <v>188</v>
      </c>
      <c r="C6" s="47" t="s">
        <v>189</v>
      </c>
      <c r="D6" s="47" t="s">
        <v>190</v>
      </c>
      <c r="E6" s="48" t="s">
        <v>191</v>
      </c>
      <c r="F6" s="48" t="s">
        <v>192</v>
      </c>
      <c r="G6" s="48" t="s">
        <v>193</v>
      </c>
    </row>
    <row r="7" customFormat="false" ht="15" hidden="false" customHeight="false" outlineLevel="0" collapsed="false">
      <c r="A7" s="6" t="n">
        <v>3</v>
      </c>
      <c r="B7" s="29" t="s">
        <v>194</v>
      </c>
      <c r="C7" s="6" t="s">
        <v>195</v>
      </c>
      <c r="D7" s="6" t="s">
        <v>196</v>
      </c>
      <c r="E7" s="29" t="s">
        <v>197</v>
      </c>
      <c r="F7" s="29" t="s">
        <v>198</v>
      </c>
      <c r="G7" s="29" t="s">
        <v>199</v>
      </c>
    </row>
    <row r="8" customFormat="false" ht="15" hidden="false" customHeight="false" outlineLevel="0" collapsed="false">
      <c r="A8" s="6" t="n">
        <v>4</v>
      </c>
      <c r="B8" s="29" t="s">
        <v>200</v>
      </c>
      <c r="C8" s="6" t="s">
        <v>201</v>
      </c>
      <c r="D8" s="6" t="s">
        <v>202</v>
      </c>
      <c r="E8" s="29" t="s">
        <v>203</v>
      </c>
      <c r="F8" s="29" t="s">
        <v>204</v>
      </c>
      <c r="G8" s="29" t="s">
        <v>205</v>
      </c>
    </row>
    <row r="9" customFormat="false" ht="15" hidden="false" customHeight="false" outlineLevel="0" collapsed="false">
      <c r="A9" s="6" t="n">
        <v>5</v>
      </c>
      <c r="B9" s="29" t="s">
        <v>206</v>
      </c>
      <c r="C9" s="6" t="s">
        <v>207</v>
      </c>
      <c r="D9" s="6" t="s">
        <v>208</v>
      </c>
      <c r="E9" s="29" t="s">
        <v>209</v>
      </c>
      <c r="F9" s="29" t="s">
        <v>210</v>
      </c>
      <c r="G9" s="29" t="s">
        <v>211</v>
      </c>
    </row>
    <row r="10" customFormat="false" ht="15" hidden="false" customHeight="false" outlineLevel="0" collapsed="false">
      <c r="A10" s="41" t="n">
        <v>6</v>
      </c>
      <c r="B10" s="42" t="s">
        <v>212</v>
      </c>
      <c r="C10" s="41" t="s">
        <v>213</v>
      </c>
      <c r="D10" s="41" t="s">
        <v>214</v>
      </c>
      <c r="E10" s="42" t="s">
        <v>215</v>
      </c>
      <c r="F10" s="42" t="s">
        <v>216</v>
      </c>
      <c r="G10" s="42" t="s">
        <v>217</v>
      </c>
    </row>
    <row r="11" customFormat="false" ht="28.35" hidden="false" customHeight="false" outlineLevel="0" collapsed="false">
      <c r="A11" s="47" t="n">
        <v>7</v>
      </c>
      <c r="B11" s="48" t="s">
        <v>218</v>
      </c>
      <c r="C11" s="47" t="s">
        <v>189</v>
      </c>
      <c r="D11" s="47" t="s">
        <v>219</v>
      </c>
      <c r="E11" s="48" t="s">
        <v>220</v>
      </c>
      <c r="F11" s="48" t="s">
        <v>221</v>
      </c>
      <c r="G11" s="48" t="s">
        <v>222</v>
      </c>
    </row>
    <row r="12" customFormat="false" ht="15" hidden="false" customHeight="false" outlineLevel="0" collapsed="false">
      <c r="A12" s="6" t="n">
        <v>8</v>
      </c>
      <c r="B12" s="29" t="s">
        <v>223</v>
      </c>
      <c r="C12" s="6" t="s">
        <v>224</v>
      </c>
      <c r="D12" s="6" t="s">
        <v>225</v>
      </c>
      <c r="E12" s="29" t="s">
        <v>226</v>
      </c>
      <c r="F12" s="29" t="s">
        <v>227</v>
      </c>
      <c r="G12" s="29" t="s">
        <v>228</v>
      </c>
    </row>
    <row r="13" customFormat="false" ht="28.35" hidden="false" customHeight="false" outlineLevel="0" collapsed="false">
      <c r="A13" s="41" t="n">
        <v>9</v>
      </c>
      <c r="B13" s="42" t="s">
        <v>229</v>
      </c>
      <c r="C13" s="41" t="s">
        <v>213</v>
      </c>
      <c r="D13" s="41" t="s">
        <v>230</v>
      </c>
      <c r="E13" s="42" t="s">
        <v>231</v>
      </c>
      <c r="F13" s="42" t="s">
        <v>232</v>
      </c>
      <c r="G13" s="42" t="s">
        <v>233</v>
      </c>
    </row>
    <row r="14" customFormat="false" ht="15" hidden="false" customHeight="false" outlineLevel="0" collapsed="false">
      <c r="A14" s="6" t="n">
        <v>10</v>
      </c>
      <c r="B14" s="29" t="s">
        <v>234</v>
      </c>
      <c r="C14" s="6" t="s">
        <v>183</v>
      </c>
      <c r="D14" s="6" t="s">
        <v>235</v>
      </c>
      <c r="E14" s="29" t="s">
        <v>236</v>
      </c>
      <c r="F14" s="29" t="s">
        <v>237</v>
      </c>
      <c r="G14" s="29" t="s">
        <v>238</v>
      </c>
    </row>
    <row r="16" customFormat="false" ht="15" hidden="false" customHeight="false" outlineLevel="0" collapsed="false">
      <c r="A16" s="34" t="s">
        <v>239</v>
      </c>
      <c r="B16" s="34"/>
      <c r="C16" s="34"/>
      <c r="D16" s="34"/>
      <c r="E16" s="34"/>
      <c r="F16" s="34"/>
      <c r="G16" s="34"/>
    </row>
    <row r="17" customFormat="false" ht="15" hidden="false" customHeight="false" outlineLevel="0" collapsed="false">
      <c r="A17" s="34"/>
      <c r="B17" s="34"/>
      <c r="C17" s="34"/>
      <c r="D17" s="34"/>
      <c r="E17" s="34"/>
      <c r="F17" s="34"/>
      <c r="G17" s="34"/>
    </row>
  </sheetData>
  <mergeCells count="3">
    <mergeCell ref="A1:G1"/>
    <mergeCell ref="A2:G2"/>
    <mergeCell ref="A16:G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22"/>
    <col collapsed="false" customWidth="true" hidden="false" outlineLevel="0" max="8" min="8" style="0" width="16"/>
    <col collapsed="false" customWidth="true" hidden="false" outlineLevel="0" max="9" min="9" style="0" width="28"/>
  </cols>
  <sheetData>
    <row r="1" customFormat="false" ht="25.5" hidden="false" customHeight="true" outlineLevel="0" collapsed="false">
      <c r="A1" s="1" t="s">
        <v>240</v>
      </c>
      <c r="B1" s="1"/>
      <c r="C1" s="1"/>
      <c r="D1" s="1"/>
      <c r="E1" s="1"/>
      <c r="F1" s="1"/>
      <c r="G1" s="1"/>
      <c r="H1" s="1"/>
      <c r="I1" s="1"/>
      <c r="J1" s="1"/>
    </row>
    <row r="2" customFormat="false" ht="15" hidden="false" customHeight="true" outlineLevel="0" collapsed="false">
      <c r="A2" s="2" t="s">
        <v>49</v>
      </c>
      <c r="B2" s="2"/>
      <c r="C2" s="2"/>
      <c r="D2" s="2"/>
      <c r="E2" s="2"/>
      <c r="F2" s="2"/>
      <c r="G2" s="2"/>
      <c r="H2" s="2"/>
      <c r="I2" s="2"/>
      <c r="J2" s="2"/>
    </row>
    <row r="4" customFormat="false" ht="26.85" hidden="false" customHeight="false" outlineLevel="0" collapsed="false">
      <c r="A4" s="4" t="s">
        <v>241</v>
      </c>
      <c r="B4" s="4" t="s">
        <v>242</v>
      </c>
      <c r="C4" s="4" t="s">
        <v>243</v>
      </c>
      <c r="D4" s="4" t="s">
        <v>244</v>
      </c>
      <c r="E4" s="4" t="s">
        <v>245</v>
      </c>
      <c r="F4" s="4" t="s">
        <v>246</v>
      </c>
      <c r="G4" s="4" t="s">
        <v>247</v>
      </c>
      <c r="H4" s="4" t="s">
        <v>248</v>
      </c>
      <c r="I4" s="4" t="s">
        <v>23</v>
      </c>
    </row>
    <row r="5" customFormat="false" ht="28.35" hidden="false" customHeight="false" outlineLevel="0" collapsed="false">
      <c r="A5" s="5" t="s">
        <v>249</v>
      </c>
      <c r="B5" s="6" t="n">
        <v>210</v>
      </c>
      <c r="C5" s="6" t="n">
        <v>95</v>
      </c>
      <c r="D5" s="6" t="n">
        <v>40</v>
      </c>
      <c r="E5" s="44" t="n">
        <v>28</v>
      </c>
      <c r="F5" s="41" t="n">
        <v>15</v>
      </c>
      <c r="G5" s="29" t="s">
        <v>250</v>
      </c>
      <c r="H5" s="6" t="s">
        <v>251</v>
      </c>
      <c r="I5" s="29" t="s">
        <v>252</v>
      </c>
    </row>
    <row r="6" customFormat="false" ht="15" hidden="false" customHeight="false" outlineLevel="0" collapsed="false">
      <c r="A6" s="5" t="s">
        <v>253</v>
      </c>
      <c r="B6" s="6" t="n">
        <v>85</v>
      </c>
      <c r="C6" s="6" t="n">
        <v>55</v>
      </c>
      <c r="D6" s="6" t="n">
        <v>38</v>
      </c>
      <c r="E6" s="44" t="n">
        <v>22</v>
      </c>
      <c r="F6" s="41" t="n">
        <v>12</v>
      </c>
      <c r="G6" s="29" t="s">
        <v>254</v>
      </c>
      <c r="H6" s="6" t="s">
        <v>255</v>
      </c>
      <c r="I6" s="29" t="s">
        <v>256</v>
      </c>
    </row>
    <row r="7" customFormat="false" ht="15" hidden="false" customHeight="false" outlineLevel="0" collapsed="false">
      <c r="A7" s="5" t="s">
        <v>257</v>
      </c>
      <c r="B7" s="6" t="n">
        <v>72</v>
      </c>
      <c r="C7" s="6" t="n">
        <v>48</v>
      </c>
      <c r="D7" s="6" t="n">
        <v>35</v>
      </c>
      <c r="E7" s="44" t="n">
        <v>18</v>
      </c>
      <c r="F7" s="41" t="n">
        <v>10</v>
      </c>
      <c r="G7" s="29" t="s">
        <v>258</v>
      </c>
      <c r="H7" s="6" t="s">
        <v>259</v>
      </c>
      <c r="I7" s="29" t="s">
        <v>260</v>
      </c>
    </row>
    <row r="8" customFormat="false" ht="28.35" hidden="false" customHeight="false" outlineLevel="0" collapsed="false">
      <c r="A8" s="5" t="s">
        <v>261</v>
      </c>
      <c r="B8" s="6" t="n">
        <v>58</v>
      </c>
      <c r="C8" s="6" t="n">
        <v>42</v>
      </c>
      <c r="D8" s="6" t="n">
        <v>30</v>
      </c>
      <c r="E8" s="44" t="n">
        <v>14</v>
      </c>
      <c r="F8" s="41" t="n">
        <v>8</v>
      </c>
      <c r="G8" s="29" t="s">
        <v>262</v>
      </c>
      <c r="H8" s="6" t="s">
        <v>263</v>
      </c>
      <c r="I8" s="29" t="s">
        <v>264</v>
      </c>
    </row>
    <row r="9" customFormat="false" ht="23.85" hidden="false" customHeight="false" outlineLevel="0" collapsed="false">
      <c r="A9" s="5" t="s">
        <v>265</v>
      </c>
      <c r="B9" s="6" t="n">
        <v>28</v>
      </c>
      <c r="C9" s="6" t="n">
        <v>22</v>
      </c>
      <c r="D9" s="6" t="n">
        <v>18</v>
      </c>
      <c r="E9" s="44" t="n">
        <v>9</v>
      </c>
      <c r="F9" s="41" t="n">
        <v>5</v>
      </c>
      <c r="G9" s="29" t="s">
        <v>266</v>
      </c>
      <c r="H9" s="6" t="s">
        <v>267</v>
      </c>
      <c r="I9" s="29" t="s">
        <v>268</v>
      </c>
    </row>
    <row r="10" customFormat="false" ht="15" hidden="false" customHeight="false" outlineLevel="0" collapsed="false">
      <c r="A10" s="5" t="s">
        <v>269</v>
      </c>
      <c r="B10" s="6" t="n">
        <v>18</v>
      </c>
      <c r="C10" s="6" t="n">
        <v>15</v>
      </c>
      <c r="D10" s="6" t="n">
        <v>12</v>
      </c>
      <c r="E10" s="44" t="n">
        <v>4</v>
      </c>
      <c r="F10" s="41" t="n">
        <v>2</v>
      </c>
      <c r="G10" s="29" t="s">
        <v>270</v>
      </c>
      <c r="H10" s="6" t="s">
        <v>271</v>
      </c>
      <c r="I10" s="29" t="s">
        <v>272</v>
      </c>
    </row>
    <row r="11" customFormat="false" ht="15" hidden="false" customHeight="false" outlineLevel="0" collapsed="false">
      <c r="A11" s="23" t="s">
        <v>273</v>
      </c>
      <c r="B11" s="23" t="n">
        <f aca="false">SUM(B5:B10)</f>
        <v>471</v>
      </c>
      <c r="C11" s="23"/>
      <c r="D11" s="23"/>
      <c r="E11" s="23"/>
      <c r="F11" s="23"/>
      <c r="G11" s="23"/>
      <c r="H11" s="23"/>
      <c r="I11" s="23"/>
    </row>
    <row r="13" customFormat="false" ht="15" hidden="false" customHeight="true" outlineLevel="0" collapsed="false">
      <c r="A13" s="28" t="s">
        <v>274</v>
      </c>
      <c r="B13" s="28"/>
      <c r="C13" s="28"/>
      <c r="D13" s="28"/>
      <c r="E13" s="28"/>
      <c r="F13" s="28"/>
      <c r="G13" s="28"/>
      <c r="H13" s="28"/>
      <c r="I13" s="28"/>
    </row>
    <row r="14" customFormat="false" ht="15" hidden="false" customHeight="false" outlineLevel="0" collapsed="false">
      <c r="A14" s="28"/>
      <c r="B14" s="28"/>
      <c r="C14" s="28"/>
      <c r="D14" s="28"/>
      <c r="E14" s="28"/>
      <c r="F14" s="28"/>
      <c r="G14" s="28"/>
      <c r="H14" s="28"/>
      <c r="I14" s="28"/>
    </row>
    <row r="15" customFormat="false" ht="15" hidden="false" customHeight="false" outlineLevel="0" collapsed="false">
      <c r="A15" s="28"/>
      <c r="B15" s="28"/>
      <c r="C15" s="28"/>
      <c r="D15" s="28"/>
      <c r="E15" s="28"/>
      <c r="F15" s="28"/>
      <c r="G15" s="28"/>
      <c r="H15" s="28"/>
      <c r="I15" s="28"/>
    </row>
  </sheetData>
  <mergeCells count="3">
    <mergeCell ref="A1:J1"/>
    <mergeCell ref="A2:J2"/>
    <mergeCell ref="A13:I1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8"/>
    <col collapsed="false" customWidth="true" hidden="false" outlineLevel="0" max="4" min="4" style="0" width="12"/>
    <col collapsed="false" customWidth="true" hidden="false" outlineLevel="0" max="5" min="5" style="0" width="14"/>
    <col collapsed="false" customWidth="true" hidden="false" outlineLevel="0" max="6" min="6" style="0" width="42"/>
    <col collapsed="false" customWidth="true" hidden="false" outlineLevel="0" max="7" min="7" style="0" width="12"/>
    <col collapsed="false" customWidth="true" hidden="false" outlineLevel="0" max="8" min="8" style="0" width="18"/>
  </cols>
  <sheetData>
    <row r="1" customFormat="false" ht="25.5" hidden="false" customHeight="true" outlineLevel="0" collapsed="false">
      <c r="A1" s="1" t="s">
        <v>275</v>
      </c>
      <c r="B1" s="1"/>
      <c r="C1" s="1"/>
      <c r="D1" s="1"/>
      <c r="E1" s="1"/>
      <c r="F1" s="1"/>
      <c r="G1" s="1"/>
      <c r="H1" s="1"/>
    </row>
    <row r="2" customFormat="false" ht="15" hidden="false" customHeight="true" outlineLevel="0" collapsed="false">
      <c r="A2" s="2" t="s">
        <v>49</v>
      </c>
      <c r="B2" s="2"/>
      <c r="C2" s="2"/>
      <c r="D2" s="2"/>
      <c r="E2" s="2"/>
      <c r="F2" s="2"/>
      <c r="G2" s="2"/>
      <c r="H2" s="2"/>
    </row>
    <row r="4" customFormat="false" ht="26.85" hidden="false" customHeight="false" outlineLevel="0" collapsed="false">
      <c r="A4" s="4" t="s">
        <v>51</v>
      </c>
      <c r="B4" s="4" t="s">
        <v>276</v>
      </c>
      <c r="C4" s="4" t="s">
        <v>277</v>
      </c>
      <c r="D4" s="4" t="s">
        <v>278</v>
      </c>
      <c r="E4" s="4" t="s">
        <v>279</v>
      </c>
      <c r="F4" s="4" t="s">
        <v>280</v>
      </c>
      <c r="G4" s="4" t="s">
        <v>281</v>
      </c>
      <c r="H4" s="4" t="s">
        <v>23</v>
      </c>
    </row>
    <row r="5" customFormat="false" ht="15" hidden="false" customHeight="false" outlineLevel="0" collapsed="false">
      <c r="A5" s="49" t="n">
        <v>1</v>
      </c>
      <c r="B5" s="50" t="s">
        <v>282</v>
      </c>
      <c r="C5" s="51" t="s">
        <v>283</v>
      </c>
      <c r="D5" s="49" t="s">
        <v>284</v>
      </c>
      <c r="E5" s="49" t="s">
        <v>285</v>
      </c>
      <c r="F5" s="51" t="s">
        <v>286</v>
      </c>
      <c r="G5" s="49" t="s">
        <v>287</v>
      </c>
      <c r="H5" s="51" t="s">
        <v>288</v>
      </c>
    </row>
    <row r="6" customFormat="false" ht="28.35" hidden="false" customHeight="false" outlineLevel="0" collapsed="false">
      <c r="A6" s="49" t="n">
        <v>2</v>
      </c>
      <c r="B6" s="50" t="s">
        <v>289</v>
      </c>
      <c r="C6" s="51" t="s">
        <v>290</v>
      </c>
      <c r="D6" s="49" t="s">
        <v>291</v>
      </c>
      <c r="E6" s="49" t="s">
        <v>292</v>
      </c>
      <c r="F6" s="51" t="s">
        <v>293</v>
      </c>
      <c r="G6" s="49" t="s">
        <v>294</v>
      </c>
      <c r="H6" s="51" t="s">
        <v>295</v>
      </c>
    </row>
    <row r="7" customFormat="false" ht="15" hidden="false" customHeight="false" outlineLevel="0" collapsed="false">
      <c r="A7" s="6" t="n">
        <v>3</v>
      </c>
      <c r="B7" s="5" t="s">
        <v>296</v>
      </c>
      <c r="C7" s="29" t="s">
        <v>297</v>
      </c>
      <c r="D7" s="6" t="s">
        <v>298</v>
      </c>
      <c r="E7" s="6" t="s">
        <v>299</v>
      </c>
      <c r="F7" s="29" t="s">
        <v>300</v>
      </c>
      <c r="G7" s="6" t="s">
        <v>301</v>
      </c>
      <c r="H7" s="29" t="s">
        <v>302</v>
      </c>
    </row>
    <row r="8" customFormat="false" ht="15" hidden="false" customHeight="false" outlineLevel="0" collapsed="false">
      <c r="A8" s="6" t="n">
        <v>4</v>
      </c>
      <c r="B8" s="5" t="s">
        <v>303</v>
      </c>
      <c r="C8" s="29" t="s">
        <v>304</v>
      </c>
      <c r="D8" s="6" t="s">
        <v>305</v>
      </c>
      <c r="E8" s="6" t="s">
        <v>306</v>
      </c>
      <c r="F8" s="29" t="s">
        <v>307</v>
      </c>
      <c r="G8" s="6" t="s">
        <v>308</v>
      </c>
      <c r="H8" s="29" t="s">
        <v>309</v>
      </c>
    </row>
    <row r="9" customFormat="false" ht="23.85" hidden="false" customHeight="false" outlineLevel="0" collapsed="false">
      <c r="A9" s="6" t="n">
        <v>5</v>
      </c>
      <c r="B9" s="5" t="s">
        <v>310</v>
      </c>
      <c r="C9" s="29" t="s">
        <v>311</v>
      </c>
      <c r="D9" s="6" t="s">
        <v>312</v>
      </c>
      <c r="E9" s="6" t="s">
        <v>313</v>
      </c>
      <c r="F9" s="29" t="s">
        <v>314</v>
      </c>
      <c r="G9" s="6" t="s">
        <v>315</v>
      </c>
      <c r="H9" s="29" t="s">
        <v>316</v>
      </c>
    </row>
    <row r="10" customFormat="false" ht="15" hidden="false" customHeight="false" outlineLevel="0" collapsed="false">
      <c r="A10" s="6" t="n">
        <v>6</v>
      </c>
      <c r="B10" s="5" t="s">
        <v>317</v>
      </c>
      <c r="C10" s="29" t="s">
        <v>318</v>
      </c>
      <c r="D10" s="6" t="s">
        <v>319</v>
      </c>
      <c r="E10" s="6" t="s">
        <v>320</v>
      </c>
      <c r="F10" s="29" t="s">
        <v>321</v>
      </c>
      <c r="G10" s="6" t="s">
        <v>322</v>
      </c>
      <c r="H10" s="29" t="s">
        <v>323</v>
      </c>
    </row>
    <row r="11" customFormat="false" ht="15" hidden="false" customHeight="false" outlineLevel="0" collapsed="false">
      <c r="A11" s="6" t="n">
        <v>7</v>
      </c>
      <c r="B11" s="5" t="s">
        <v>324</v>
      </c>
      <c r="C11" s="29" t="s">
        <v>325</v>
      </c>
      <c r="D11" s="6" t="s">
        <v>326</v>
      </c>
      <c r="E11" s="6" t="s">
        <v>327</v>
      </c>
      <c r="F11" s="29" t="s">
        <v>328</v>
      </c>
      <c r="G11" s="6" t="s">
        <v>329</v>
      </c>
      <c r="H11" s="29"/>
    </row>
    <row r="12" customFormat="false" ht="15" hidden="false" customHeight="false" outlineLevel="0" collapsed="false">
      <c r="A12" s="6" t="n">
        <v>8</v>
      </c>
      <c r="B12" s="5" t="s">
        <v>330</v>
      </c>
      <c r="C12" s="29" t="s">
        <v>331</v>
      </c>
      <c r="D12" s="6" t="s">
        <v>332</v>
      </c>
      <c r="E12" s="6" t="s">
        <v>333</v>
      </c>
      <c r="F12" s="29" t="s">
        <v>334</v>
      </c>
      <c r="G12" s="6" t="s">
        <v>335</v>
      </c>
      <c r="H12" s="29"/>
    </row>
    <row r="13" customFormat="false" ht="15" hidden="false" customHeight="false" outlineLevel="0" collapsed="false">
      <c r="A13" s="6" t="n">
        <v>9</v>
      </c>
      <c r="B13" s="5" t="s">
        <v>336</v>
      </c>
      <c r="C13" s="29" t="s">
        <v>337</v>
      </c>
      <c r="D13" s="6" t="s">
        <v>338</v>
      </c>
      <c r="E13" s="6" t="s">
        <v>339</v>
      </c>
      <c r="F13" s="29" t="s">
        <v>340</v>
      </c>
      <c r="G13" s="6" t="s">
        <v>341</v>
      </c>
      <c r="H13" s="29" t="s">
        <v>342</v>
      </c>
    </row>
    <row r="14" customFormat="false" ht="15" hidden="false" customHeight="false" outlineLevel="0" collapsed="false">
      <c r="A14" s="6" t="n">
        <v>10</v>
      </c>
      <c r="B14" s="5" t="s">
        <v>343</v>
      </c>
      <c r="C14" s="29" t="s">
        <v>344</v>
      </c>
      <c r="D14" s="6" t="s">
        <v>345</v>
      </c>
      <c r="E14" s="6" t="s">
        <v>346</v>
      </c>
      <c r="F14" s="29" t="s">
        <v>347</v>
      </c>
      <c r="G14" s="6" t="s">
        <v>348</v>
      </c>
      <c r="H14" s="29" t="s">
        <v>349</v>
      </c>
    </row>
    <row r="15" customFormat="false" ht="15" hidden="false" customHeight="false" outlineLevel="0" collapsed="false">
      <c r="A15" s="6" t="n">
        <v>11</v>
      </c>
      <c r="B15" s="5" t="s">
        <v>350</v>
      </c>
      <c r="C15" s="29" t="s">
        <v>351</v>
      </c>
      <c r="D15" s="6" t="s">
        <v>352</v>
      </c>
      <c r="E15" s="6" t="s">
        <v>353</v>
      </c>
      <c r="F15" s="29" t="s">
        <v>354</v>
      </c>
      <c r="G15" s="6" t="s">
        <v>355</v>
      </c>
      <c r="H15" s="29" t="s">
        <v>356</v>
      </c>
    </row>
    <row r="17" customFormat="false" ht="15" hidden="false" customHeight="false" outlineLevel="0" collapsed="false">
      <c r="A17" s="34" t="s">
        <v>357</v>
      </c>
      <c r="B17" s="34"/>
      <c r="C17" s="34"/>
      <c r="D17" s="34"/>
      <c r="E17" s="34"/>
      <c r="F17" s="34"/>
      <c r="G17" s="34"/>
      <c r="H17" s="34"/>
    </row>
    <row r="18" customFormat="false" ht="15" hidden="false" customHeight="false" outlineLevel="0" collapsed="false">
      <c r="A18" s="34"/>
      <c r="B18" s="34"/>
      <c r="C18" s="34"/>
      <c r="D18" s="34"/>
      <c r="E18" s="34"/>
      <c r="F18" s="34"/>
      <c r="G18" s="34"/>
      <c r="H18" s="34"/>
    </row>
  </sheetData>
  <mergeCells count="3">
    <mergeCell ref="A1:H1"/>
    <mergeCell ref="A2:H2"/>
    <mergeCell ref="A17: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28"/>
    <col collapsed="false" customWidth="true" hidden="false" outlineLevel="0" max="6" min="4" style="0" width="12"/>
    <col collapsed="false" customWidth="true" hidden="false" outlineLevel="0" max="7" min="7" style="0" width="32"/>
    <col collapsed="false" customWidth="true" hidden="false" outlineLevel="0" max="8" min="8" style="0" width="18"/>
  </cols>
  <sheetData>
    <row r="1" customFormat="false" ht="25.5" hidden="false" customHeight="true" outlineLevel="0" collapsed="false">
      <c r="A1" s="1" t="s">
        <v>358</v>
      </c>
      <c r="B1" s="1"/>
      <c r="C1" s="1"/>
      <c r="D1" s="1"/>
      <c r="E1" s="1"/>
      <c r="F1" s="1"/>
      <c r="G1" s="1"/>
      <c r="H1" s="1"/>
    </row>
    <row r="2" customFormat="false" ht="15" hidden="false" customHeight="true" outlineLevel="0" collapsed="false">
      <c r="A2" s="2" t="s">
        <v>49</v>
      </c>
      <c r="B2" s="2"/>
      <c r="C2" s="2"/>
      <c r="D2" s="2"/>
      <c r="E2" s="2"/>
      <c r="F2" s="2"/>
      <c r="G2" s="2"/>
      <c r="H2" s="2"/>
    </row>
    <row r="4" customFormat="false" ht="26.85" hidden="false" customHeight="false" outlineLevel="0" collapsed="false">
      <c r="A4" s="4" t="s">
        <v>51</v>
      </c>
      <c r="B4" s="4" t="s">
        <v>276</v>
      </c>
      <c r="C4" s="4" t="s">
        <v>277</v>
      </c>
      <c r="D4" s="4" t="s">
        <v>278</v>
      </c>
      <c r="E4" s="4" t="s">
        <v>359</v>
      </c>
      <c r="F4" s="4" t="s">
        <v>360</v>
      </c>
      <c r="G4" s="4" t="s">
        <v>361</v>
      </c>
      <c r="H4" s="4" t="s">
        <v>23</v>
      </c>
    </row>
    <row r="5" customFormat="false" ht="15" hidden="false" customHeight="false" outlineLevel="0" collapsed="false">
      <c r="A5" s="49" t="n">
        <v>1</v>
      </c>
      <c r="B5" s="50" t="s">
        <v>362</v>
      </c>
      <c r="C5" s="51" t="s">
        <v>363</v>
      </c>
      <c r="D5" s="49" t="s">
        <v>364</v>
      </c>
      <c r="E5" s="51" t="s">
        <v>365</v>
      </c>
      <c r="F5" s="49" t="s">
        <v>366</v>
      </c>
      <c r="G5" s="51" t="s">
        <v>367</v>
      </c>
      <c r="H5" s="51" t="s">
        <v>368</v>
      </c>
    </row>
    <row r="6" customFormat="false" ht="15" hidden="false" customHeight="false" outlineLevel="0" collapsed="false">
      <c r="A6" s="6" t="n">
        <v>2</v>
      </c>
      <c r="B6" s="5" t="s">
        <v>369</v>
      </c>
      <c r="C6" s="29" t="s">
        <v>370</v>
      </c>
      <c r="D6" s="6" t="s">
        <v>371</v>
      </c>
      <c r="E6" s="29" t="s">
        <v>372</v>
      </c>
      <c r="F6" s="6" t="s">
        <v>292</v>
      </c>
      <c r="G6" s="29" t="s">
        <v>373</v>
      </c>
      <c r="H6" s="29"/>
    </row>
    <row r="7" customFormat="false" ht="15" hidden="false" customHeight="false" outlineLevel="0" collapsed="false">
      <c r="A7" s="49" t="n">
        <v>3</v>
      </c>
      <c r="B7" s="50" t="s">
        <v>374</v>
      </c>
      <c r="C7" s="51" t="s">
        <v>375</v>
      </c>
      <c r="D7" s="49" t="s">
        <v>376</v>
      </c>
      <c r="E7" s="51" t="s">
        <v>365</v>
      </c>
      <c r="F7" s="49" t="s">
        <v>320</v>
      </c>
      <c r="G7" s="51" t="s">
        <v>377</v>
      </c>
      <c r="H7" s="51" t="s">
        <v>378</v>
      </c>
    </row>
    <row r="8" customFormat="false" ht="15" hidden="false" customHeight="false" outlineLevel="0" collapsed="false">
      <c r="A8" s="6" t="n">
        <v>4</v>
      </c>
      <c r="B8" s="5" t="s">
        <v>379</v>
      </c>
      <c r="C8" s="29" t="s">
        <v>380</v>
      </c>
      <c r="D8" s="6" t="s">
        <v>381</v>
      </c>
      <c r="E8" s="29" t="s">
        <v>382</v>
      </c>
      <c r="F8" s="6" t="s">
        <v>327</v>
      </c>
      <c r="G8" s="29" t="s">
        <v>383</v>
      </c>
      <c r="H8" s="29"/>
    </row>
    <row r="9" customFormat="false" ht="15" hidden="false" customHeight="false" outlineLevel="0" collapsed="false">
      <c r="A9" s="6" t="n">
        <v>5</v>
      </c>
      <c r="B9" s="5" t="s">
        <v>384</v>
      </c>
      <c r="C9" s="29" t="s">
        <v>385</v>
      </c>
      <c r="D9" s="6" t="s">
        <v>386</v>
      </c>
      <c r="E9" s="29" t="s">
        <v>382</v>
      </c>
      <c r="F9" s="6" t="s">
        <v>387</v>
      </c>
      <c r="G9" s="29" t="s">
        <v>388</v>
      </c>
      <c r="H9" s="29"/>
    </row>
    <row r="10" customFormat="false" ht="15" hidden="false" customHeight="false" outlineLevel="0" collapsed="false">
      <c r="A10" s="6" t="n">
        <v>6</v>
      </c>
      <c r="B10" s="5" t="s">
        <v>389</v>
      </c>
      <c r="C10" s="29" t="s">
        <v>390</v>
      </c>
      <c r="D10" s="6" t="s">
        <v>391</v>
      </c>
      <c r="E10" s="29" t="s">
        <v>365</v>
      </c>
      <c r="F10" s="6" t="s">
        <v>299</v>
      </c>
      <c r="G10" s="29" t="s">
        <v>392</v>
      </c>
      <c r="H10" s="29"/>
    </row>
    <row r="11" customFormat="false" ht="15" hidden="false" customHeight="false" outlineLevel="0" collapsed="false">
      <c r="A11" s="6" t="n">
        <v>7</v>
      </c>
      <c r="B11" s="5" t="s">
        <v>393</v>
      </c>
      <c r="C11" s="29" t="s">
        <v>394</v>
      </c>
      <c r="D11" s="6" t="s">
        <v>395</v>
      </c>
      <c r="E11" s="29" t="s">
        <v>396</v>
      </c>
      <c r="F11" s="6" t="s">
        <v>397</v>
      </c>
      <c r="G11" s="29" t="s">
        <v>398</v>
      </c>
      <c r="H11" s="29"/>
    </row>
    <row r="12" customFormat="false" ht="15" hidden="false" customHeight="false" outlineLevel="0" collapsed="false">
      <c r="A12" s="6" t="n">
        <v>8</v>
      </c>
      <c r="B12" s="5" t="s">
        <v>399</v>
      </c>
      <c r="C12" s="29" t="s">
        <v>400</v>
      </c>
      <c r="D12" s="6" t="s">
        <v>401</v>
      </c>
      <c r="E12" s="29" t="s">
        <v>365</v>
      </c>
      <c r="F12" s="6" t="s">
        <v>313</v>
      </c>
      <c r="G12" s="29" t="s">
        <v>402</v>
      </c>
      <c r="H12" s="29"/>
    </row>
    <row r="13" customFormat="false" ht="15" hidden="false" customHeight="false" outlineLevel="0" collapsed="false">
      <c r="A13" s="6" t="n">
        <v>9</v>
      </c>
      <c r="B13" s="5" t="s">
        <v>403</v>
      </c>
      <c r="C13" s="29" t="s">
        <v>404</v>
      </c>
      <c r="D13" s="6" t="s">
        <v>405</v>
      </c>
      <c r="E13" s="29" t="s">
        <v>406</v>
      </c>
      <c r="F13" s="6" t="s">
        <v>339</v>
      </c>
      <c r="G13" s="29" t="s">
        <v>407</v>
      </c>
      <c r="H13" s="29"/>
    </row>
    <row r="14" customFormat="false" ht="15" hidden="false" customHeight="false" outlineLevel="0" collapsed="false">
      <c r="A14" s="6" t="n">
        <v>10</v>
      </c>
      <c r="B14" s="5" t="s">
        <v>408</v>
      </c>
      <c r="C14" s="29" t="s">
        <v>409</v>
      </c>
      <c r="D14" s="6" t="s">
        <v>410</v>
      </c>
      <c r="E14" s="29" t="s">
        <v>309</v>
      </c>
      <c r="F14" s="6" t="s">
        <v>306</v>
      </c>
      <c r="G14" s="29" t="s">
        <v>411</v>
      </c>
      <c r="H14" s="29"/>
    </row>
    <row r="15" customFormat="false" ht="15" hidden="false" customHeight="false" outlineLevel="0" collapsed="false">
      <c r="A15" s="6" t="n">
        <v>11</v>
      </c>
      <c r="B15" s="5" t="s">
        <v>412</v>
      </c>
      <c r="C15" s="29" t="s">
        <v>413</v>
      </c>
      <c r="D15" s="6" t="s">
        <v>414</v>
      </c>
      <c r="E15" s="29" t="s">
        <v>415</v>
      </c>
      <c r="F15" s="6" t="s">
        <v>285</v>
      </c>
      <c r="G15" s="29" t="s">
        <v>416</v>
      </c>
      <c r="H15" s="29"/>
    </row>
    <row r="16" customFormat="false" ht="15" hidden="false" customHeight="false" outlineLevel="0" collapsed="false">
      <c r="A16" s="6" t="n">
        <v>12</v>
      </c>
      <c r="B16" s="5" t="s">
        <v>417</v>
      </c>
      <c r="C16" s="29" t="s">
        <v>418</v>
      </c>
      <c r="D16" s="6" t="s">
        <v>419</v>
      </c>
      <c r="E16" s="29" t="s">
        <v>420</v>
      </c>
      <c r="F16" s="6" t="s">
        <v>292</v>
      </c>
      <c r="G16" s="29" t="s">
        <v>416</v>
      </c>
      <c r="H16" s="29"/>
    </row>
    <row r="17" customFormat="false" ht="15" hidden="false" customHeight="false" outlineLevel="0" collapsed="false">
      <c r="A17" s="6" t="n">
        <v>13</v>
      </c>
      <c r="B17" s="5" t="s">
        <v>421</v>
      </c>
      <c r="C17" s="29" t="s">
        <v>422</v>
      </c>
      <c r="D17" s="6" t="s">
        <v>423</v>
      </c>
      <c r="E17" s="29" t="s">
        <v>424</v>
      </c>
      <c r="F17" s="6" t="s">
        <v>299</v>
      </c>
      <c r="G17" s="29" t="s">
        <v>416</v>
      </c>
      <c r="H17" s="29"/>
    </row>
    <row r="18" customFormat="false" ht="15" hidden="false" customHeight="false" outlineLevel="0" collapsed="false">
      <c r="A18" s="6" t="n">
        <v>14</v>
      </c>
      <c r="B18" s="5" t="s">
        <v>425</v>
      </c>
      <c r="C18" s="29" t="s">
        <v>426</v>
      </c>
      <c r="D18" s="6" t="s">
        <v>427</v>
      </c>
      <c r="E18" s="29" t="s">
        <v>428</v>
      </c>
      <c r="F18" s="6" t="s">
        <v>387</v>
      </c>
      <c r="G18" s="29" t="s">
        <v>429</v>
      </c>
      <c r="H18" s="29"/>
    </row>
    <row r="19" customFormat="false" ht="15" hidden="false" customHeight="false" outlineLevel="0" collapsed="false">
      <c r="A19" s="6" t="n">
        <v>15</v>
      </c>
      <c r="B19" s="5" t="s">
        <v>430</v>
      </c>
      <c r="C19" s="29" t="s">
        <v>431</v>
      </c>
      <c r="D19" s="6" t="s">
        <v>432</v>
      </c>
      <c r="E19" s="29" t="s">
        <v>415</v>
      </c>
      <c r="F19" s="6" t="s">
        <v>333</v>
      </c>
      <c r="G19" s="29" t="s">
        <v>433</v>
      </c>
      <c r="H19" s="29"/>
    </row>
    <row r="20" customFormat="false" ht="15" hidden="false" customHeight="false" outlineLevel="0" collapsed="false">
      <c r="A20" s="6" t="n">
        <v>16</v>
      </c>
      <c r="B20" s="5" t="s">
        <v>434</v>
      </c>
      <c r="C20" s="29" t="s">
        <v>435</v>
      </c>
      <c r="D20" s="6" t="s">
        <v>436</v>
      </c>
      <c r="E20" s="29" t="s">
        <v>420</v>
      </c>
      <c r="F20" s="6" t="s">
        <v>327</v>
      </c>
      <c r="G20" s="29" t="s">
        <v>433</v>
      </c>
      <c r="H20" s="29"/>
    </row>
    <row r="21" customFormat="false" ht="15" hidden="false" customHeight="false" outlineLevel="0" collapsed="false">
      <c r="A21" s="6" t="n">
        <v>17</v>
      </c>
      <c r="B21" s="5" t="s">
        <v>437</v>
      </c>
      <c r="C21" s="29" t="s">
        <v>438</v>
      </c>
      <c r="D21" s="6" t="s">
        <v>439</v>
      </c>
      <c r="E21" s="29" t="s">
        <v>424</v>
      </c>
      <c r="F21" s="6" t="s">
        <v>346</v>
      </c>
      <c r="G21" s="29" t="s">
        <v>433</v>
      </c>
      <c r="H21" s="29"/>
    </row>
    <row r="22" customFormat="false" ht="15" hidden="false" customHeight="false" outlineLevel="0" collapsed="false">
      <c r="A22" s="6" t="n">
        <v>18</v>
      </c>
      <c r="B22" s="5" t="s">
        <v>440</v>
      </c>
      <c r="C22" s="29" t="s">
        <v>441</v>
      </c>
      <c r="D22" s="6" t="s">
        <v>442</v>
      </c>
      <c r="E22" s="29" t="s">
        <v>428</v>
      </c>
      <c r="F22" s="6" t="s">
        <v>320</v>
      </c>
      <c r="G22" s="29" t="s">
        <v>443</v>
      </c>
      <c r="H22" s="29"/>
    </row>
    <row r="23" customFormat="false" ht="15" hidden="false" customHeight="false" outlineLevel="0" collapsed="false">
      <c r="A23" s="49" t="n">
        <v>19</v>
      </c>
      <c r="B23" s="50" t="s">
        <v>444</v>
      </c>
      <c r="C23" s="51" t="s">
        <v>445</v>
      </c>
      <c r="D23" s="49" t="s">
        <v>446</v>
      </c>
      <c r="E23" s="51" t="s">
        <v>415</v>
      </c>
      <c r="F23" s="49" t="s">
        <v>447</v>
      </c>
      <c r="G23" s="51" t="s">
        <v>448</v>
      </c>
      <c r="H23" s="51" t="s">
        <v>449</v>
      </c>
    </row>
    <row r="24" customFormat="false" ht="15" hidden="false" customHeight="false" outlineLevel="0" collapsed="false">
      <c r="A24" s="49" t="n">
        <v>20</v>
      </c>
      <c r="B24" s="50" t="s">
        <v>450</v>
      </c>
      <c r="C24" s="51" t="s">
        <v>451</v>
      </c>
      <c r="D24" s="49" t="s">
        <v>452</v>
      </c>
      <c r="E24" s="51" t="s">
        <v>420</v>
      </c>
      <c r="F24" s="49" t="s">
        <v>397</v>
      </c>
      <c r="G24" s="51" t="s">
        <v>448</v>
      </c>
      <c r="H24" s="51"/>
    </row>
    <row r="25" customFormat="false" ht="15" hidden="false" customHeight="false" outlineLevel="0" collapsed="false">
      <c r="A25" s="49" t="n">
        <v>21</v>
      </c>
      <c r="B25" s="50" t="s">
        <v>453</v>
      </c>
      <c r="C25" s="51" t="s">
        <v>454</v>
      </c>
      <c r="D25" s="49" t="s">
        <v>455</v>
      </c>
      <c r="E25" s="51" t="s">
        <v>424</v>
      </c>
      <c r="F25" s="49" t="s">
        <v>333</v>
      </c>
      <c r="G25" s="51" t="s">
        <v>456</v>
      </c>
      <c r="H25" s="51" t="s">
        <v>457</v>
      </c>
    </row>
    <row r="26" customFormat="false" ht="15" hidden="false" customHeight="false" outlineLevel="0" collapsed="false">
      <c r="A26" s="49" t="n">
        <v>22</v>
      </c>
      <c r="B26" s="50" t="s">
        <v>458</v>
      </c>
      <c r="C26" s="51" t="s">
        <v>459</v>
      </c>
      <c r="D26" s="49" t="s">
        <v>460</v>
      </c>
      <c r="E26" s="51" t="s">
        <v>428</v>
      </c>
      <c r="F26" s="49" t="s">
        <v>461</v>
      </c>
      <c r="G26" s="51" t="s">
        <v>462</v>
      </c>
      <c r="H26" s="51" t="s">
        <v>463</v>
      </c>
    </row>
    <row r="28" customFormat="false" ht="15" hidden="false" customHeight="false" outlineLevel="0" collapsed="false">
      <c r="A28" s="34" t="s">
        <v>464</v>
      </c>
      <c r="B28" s="34"/>
      <c r="C28" s="34"/>
      <c r="D28" s="34"/>
      <c r="E28" s="34"/>
      <c r="F28" s="34"/>
      <c r="G28" s="34"/>
      <c r="H28" s="34"/>
    </row>
    <row r="29" customFormat="false" ht="15" hidden="false" customHeight="false" outlineLevel="0" collapsed="false">
      <c r="A29" s="34"/>
      <c r="B29" s="34"/>
      <c r="C29" s="34"/>
      <c r="D29" s="34"/>
      <c r="E29" s="34"/>
      <c r="F29" s="34"/>
      <c r="G29" s="34"/>
      <c r="H29" s="34"/>
    </row>
  </sheetData>
  <mergeCells count="3">
    <mergeCell ref="A1:H1"/>
    <mergeCell ref="A2:H2"/>
    <mergeCell ref="A28:H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8"/>
    <col collapsed="false" customWidth="true" hidden="false" outlineLevel="0" max="4" min="4" style="0" width="22"/>
    <col collapsed="false" customWidth="true" hidden="false" outlineLevel="0" max="5" min="5" style="0" width="10"/>
    <col collapsed="false" customWidth="true" hidden="false" outlineLevel="0" max="6" min="6" style="0" width="18"/>
    <col collapsed="false" customWidth="true" hidden="false" outlineLevel="0" max="7" min="7" style="0" width="14"/>
    <col collapsed="false" customWidth="true" hidden="false" outlineLevel="0" max="8" min="8" style="0" width="22"/>
    <col collapsed="false" customWidth="true" hidden="false" outlineLevel="0" max="9" min="9" style="0" width="10"/>
    <col collapsed="false" customWidth="true" hidden="false" outlineLevel="0" max="10" min="10" style="0" width="16"/>
    <col collapsed="false" customWidth="true" hidden="false" outlineLevel="0" max="11" min="11" style="0" width="14"/>
    <col collapsed="false" customWidth="true" hidden="false" outlineLevel="0" max="12" min="12" style="0" width="16"/>
  </cols>
  <sheetData>
    <row r="1" customFormat="false" ht="25.5" hidden="false" customHeight="true" outlineLevel="0" collapsed="false">
      <c r="A1" s="1" t="s">
        <v>465</v>
      </c>
      <c r="B1" s="1"/>
      <c r="C1" s="1"/>
      <c r="D1" s="1"/>
      <c r="E1" s="1"/>
      <c r="F1" s="1"/>
      <c r="G1" s="1"/>
      <c r="H1" s="1"/>
      <c r="I1" s="1"/>
      <c r="J1" s="1"/>
      <c r="K1" s="1"/>
      <c r="L1" s="1"/>
    </row>
    <row r="2" customFormat="false" ht="15" hidden="false" customHeight="true" outlineLevel="0" collapsed="false">
      <c r="A2" s="2" t="s">
        <v>466</v>
      </c>
      <c r="B2" s="2"/>
      <c r="C2" s="2"/>
      <c r="D2" s="2"/>
      <c r="E2" s="2"/>
      <c r="F2" s="2"/>
      <c r="G2" s="2"/>
      <c r="H2" s="2"/>
      <c r="I2" s="2"/>
      <c r="J2" s="2"/>
      <c r="K2" s="2"/>
      <c r="L2" s="2"/>
    </row>
    <row r="4" customFormat="false" ht="26.85" hidden="false" customHeight="false" outlineLevel="0" collapsed="false">
      <c r="A4" s="4" t="s">
        <v>51</v>
      </c>
      <c r="B4" s="4" t="s">
        <v>278</v>
      </c>
      <c r="C4" s="4" t="s">
        <v>241</v>
      </c>
      <c r="D4" s="4" t="s">
        <v>467</v>
      </c>
      <c r="E4" s="4" t="s">
        <v>468</v>
      </c>
      <c r="F4" s="4" t="s">
        <v>469</v>
      </c>
      <c r="G4" s="4" t="s">
        <v>470</v>
      </c>
      <c r="H4" s="4" t="s">
        <v>471</v>
      </c>
      <c r="I4" s="4" t="s">
        <v>472</v>
      </c>
      <c r="J4" s="4" t="s">
        <v>473</v>
      </c>
      <c r="K4" s="4" t="s">
        <v>474</v>
      </c>
      <c r="L4" s="4" t="s">
        <v>23</v>
      </c>
    </row>
    <row r="5" customFormat="false" ht="15" hidden="false" customHeight="false" outlineLevel="0" collapsed="false">
      <c r="A5" s="52" t="n">
        <v>1</v>
      </c>
      <c r="B5" s="52" t="s">
        <v>475</v>
      </c>
      <c r="C5" s="52" t="s">
        <v>476</v>
      </c>
      <c r="D5" s="53" t="s">
        <v>477</v>
      </c>
      <c r="E5" s="52" t="s">
        <v>424</v>
      </c>
      <c r="F5" s="53" t="s">
        <v>478</v>
      </c>
      <c r="G5" s="53" t="s">
        <v>479</v>
      </c>
      <c r="H5" s="53" t="s">
        <v>480</v>
      </c>
      <c r="I5" s="52" t="n">
        <v>13.9</v>
      </c>
      <c r="J5" s="53" t="s">
        <v>481</v>
      </c>
      <c r="K5" s="53" t="s">
        <v>481</v>
      </c>
      <c r="L5" s="53"/>
    </row>
    <row r="6" customFormat="false" ht="15" hidden="false" customHeight="false" outlineLevel="0" collapsed="false">
      <c r="A6" s="52" t="n">
        <v>2</v>
      </c>
      <c r="B6" s="52" t="s">
        <v>482</v>
      </c>
      <c r="C6" s="52" t="s">
        <v>476</v>
      </c>
      <c r="D6" s="53" t="s">
        <v>483</v>
      </c>
      <c r="E6" s="52" t="s">
        <v>415</v>
      </c>
      <c r="F6" s="53" t="s">
        <v>484</v>
      </c>
      <c r="G6" s="53" t="s">
        <v>485</v>
      </c>
      <c r="H6" s="53" t="s">
        <v>486</v>
      </c>
      <c r="I6" s="52" t="n">
        <v>6.1</v>
      </c>
      <c r="J6" s="54" t="s">
        <v>487</v>
      </c>
      <c r="K6" s="53" t="s">
        <v>488</v>
      </c>
      <c r="L6" s="53" t="s">
        <v>489</v>
      </c>
    </row>
    <row r="7" customFormat="false" ht="15" hidden="false" customHeight="false" outlineLevel="0" collapsed="false">
      <c r="A7" s="52" t="n">
        <v>3</v>
      </c>
      <c r="B7" s="52" t="s">
        <v>490</v>
      </c>
      <c r="C7" s="52" t="s">
        <v>476</v>
      </c>
      <c r="D7" s="53" t="s">
        <v>491</v>
      </c>
      <c r="E7" s="52" t="s">
        <v>372</v>
      </c>
      <c r="F7" s="53" t="s">
        <v>492</v>
      </c>
      <c r="G7" s="53" t="s">
        <v>479</v>
      </c>
      <c r="H7" s="53" t="s">
        <v>493</v>
      </c>
      <c r="I7" s="52" t="n">
        <v>11.6</v>
      </c>
      <c r="J7" s="54" t="s">
        <v>494</v>
      </c>
      <c r="K7" s="53" t="s">
        <v>488</v>
      </c>
      <c r="L7" s="53" t="s">
        <v>489</v>
      </c>
    </row>
    <row r="8" customFormat="false" ht="15" hidden="false" customHeight="false" outlineLevel="0" collapsed="false">
      <c r="A8" s="52" t="n">
        <v>4</v>
      </c>
      <c r="B8" s="52" t="s">
        <v>495</v>
      </c>
      <c r="C8" s="52" t="s">
        <v>476</v>
      </c>
      <c r="D8" s="53" t="s">
        <v>496</v>
      </c>
      <c r="E8" s="52" t="s">
        <v>424</v>
      </c>
      <c r="F8" s="53" t="s">
        <v>497</v>
      </c>
      <c r="G8" s="53" t="s">
        <v>479</v>
      </c>
      <c r="H8" s="53" t="s">
        <v>486</v>
      </c>
      <c r="I8" s="52" t="n">
        <v>17.3</v>
      </c>
      <c r="J8" s="53" t="s">
        <v>481</v>
      </c>
      <c r="K8" s="53" t="s">
        <v>498</v>
      </c>
      <c r="L8" s="53"/>
    </row>
    <row r="9" customFormat="false" ht="15" hidden="false" customHeight="false" outlineLevel="0" collapsed="false">
      <c r="A9" s="52" t="n">
        <v>5</v>
      </c>
      <c r="B9" s="52" t="s">
        <v>499</v>
      </c>
      <c r="C9" s="52" t="s">
        <v>476</v>
      </c>
      <c r="D9" s="53" t="s">
        <v>500</v>
      </c>
      <c r="E9" s="52" t="s">
        <v>424</v>
      </c>
      <c r="F9" s="53" t="s">
        <v>501</v>
      </c>
      <c r="G9" s="53" t="s">
        <v>502</v>
      </c>
      <c r="H9" s="53" t="s">
        <v>503</v>
      </c>
      <c r="I9" s="52" t="n">
        <v>15</v>
      </c>
      <c r="J9" s="53" t="s">
        <v>481</v>
      </c>
      <c r="K9" s="53" t="s">
        <v>504</v>
      </c>
      <c r="L9" s="53"/>
    </row>
    <row r="10" customFormat="false" ht="15" hidden="false" customHeight="false" outlineLevel="0" collapsed="false">
      <c r="A10" s="52" t="n">
        <v>6</v>
      </c>
      <c r="B10" s="52" t="s">
        <v>505</v>
      </c>
      <c r="C10" s="52" t="s">
        <v>476</v>
      </c>
      <c r="D10" s="53" t="s">
        <v>506</v>
      </c>
      <c r="E10" s="52" t="s">
        <v>415</v>
      </c>
      <c r="F10" s="53" t="s">
        <v>507</v>
      </c>
      <c r="G10" s="53" t="s">
        <v>508</v>
      </c>
      <c r="H10" s="53" t="s">
        <v>509</v>
      </c>
      <c r="I10" s="52" t="n">
        <v>12.1</v>
      </c>
      <c r="J10" s="54" t="s">
        <v>494</v>
      </c>
      <c r="K10" s="53" t="s">
        <v>510</v>
      </c>
      <c r="L10" s="53" t="s">
        <v>489</v>
      </c>
    </row>
    <row r="11" customFormat="false" ht="15" hidden="false" customHeight="false" outlineLevel="0" collapsed="false">
      <c r="A11" s="52" t="n">
        <v>7</v>
      </c>
      <c r="B11" s="52" t="s">
        <v>511</v>
      </c>
      <c r="C11" s="52" t="s">
        <v>476</v>
      </c>
      <c r="D11" s="53" t="s">
        <v>491</v>
      </c>
      <c r="E11" s="52" t="s">
        <v>415</v>
      </c>
      <c r="F11" s="53" t="s">
        <v>478</v>
      </c>
      <c r="G11" s="53" t="s">
        <v>508</v>
      </c>
      <c r="H11" s="53" t="s">
        <v>512</v>
      </c>
      <c r="I11" s="52" t="n">
        <v>15.8</v>
      </c>
      <c r="J11" s="54" t="s">
        <v>494</v>
      </c>
      <c r="K11" s="53" t="s">
        <v>498</v>
      </c>
      <c r="L11" s="53" t="s">
        <v>489</v>
      </c>
    </row>
    <row r="12" customFormat="false" ht="15" hidden="false" customHeight="false" outlineLevel="0" collapsed="false">
      <c r="A12" s="52" t="n">
        <v>8</v>
      </c>
      <c r="B12" s="52" t="s">
        <v>513</v>
      </c>
      <c r="C12" s="52" t="s">
        <v>476</v>
      </c>
      <c r="D12" s="53" t="s">
        <v>514</v>
      </c>
      <c r="E12" s="52" t="s">
        <v>424</v>
      </c>
      <c r="F12" s="53" t="s">
        <v>515</v>
      </c>
      <c r="G12" s="53" t="s">
        <v>508</v>
      </c>
      <c r="H12" s="53" t="s">
        <v>516</v>
      </c>
      <c r="I12" s="52" t="n">
        <v>5.7</v>
      </c>
      <c r="J12" s="53" t="s">
        <v>481</v>
      </c>
      <c r="K12" s="53" t="s">
        <v>498</v>
      </c>
      <c r="L12" s="53"/>
    </row>
    <row r="13" customFormat="false" ht="15" hidden="false" customHeight="false" outlineLevel="0" collapsed="false">
      <c r="A13" s="52" t="n">
        <v>9</v>
      </c>
      <c r="B13" s="52" t="s">
        <v>517</v>
      </c>
      <c r="C13" s="52" t="s">
        <v>476</v>
      </c>
      <c r="D13" s="53" t="s">
        <v>518</v>
      </c>
      <c r="E13" s="52" t="s">
        <v>420</v>
      </c>
      <c r="F13" s="53" t="s">
        <v>515</v>
      </c>
      <c r="G13" s="53" t="s">
        <v>519</v>
      </c>
      <c r="H13" s="53" t="s">
        <v>520</v>
      </c>
      <c r="I13" s="52" t="n">
        <v>6.7</v>
      </c>
      <c r="J13" s="53" t="s">
        <v>481</v>
      </c>
      <c r="K13" s="53" t="s">
        <v>481</v>
      </c>
      <c r="L13" s="53"/>
    </row>
    <row r="14" customFormat="false" ht="15" hidden="false" customHeight="false" outlineLevel="0" collapsed="false">
      <c r="A14" s="52" t="n">
        <v>10</v>
      </c>
      <c r="B14" s="52" t="s">
        <v>521</v>
      </c>
      <c r="C14" s="52" t="s">
        <v>476</v>
      </c>
      <c r="D14" s="53" t="s">
        <v>522</v>
      </c>
      <c r="E14" s="52" t="s">
        <v>415</v>
      </c>
      <c r="F14" s="53" t="s">
        <v>478</v>
      </c>
      <c r="G14" s="53" t="s">
        <v>485</v>
      </c>
      <c r="H14" s="53" t="s">
        <v>516</v>
      </c>
      <c r="I14" s="52" t="n">
        <v>8.7</v>
      </c>
      <c r="J14" s="53" t="s">
        <v>481</v>
      </c>
      <c r="K14" s="53" t="s">
        <v>523</v>
      </c>
      <c r="L14" s="53"/>
    </row>
    <row r="15" customFormat="false" ht="15" hidden="false" customHeight="false" outlineLevel="0" collapsed="false">
      <c r="A15" s="52" t="n">
        <v>11</v>
      </c>
      <c r="B15" s="52" t="s">
        <v>524</v>
      </c>
      <c r="C15" s="52" t="s">
        <v>476</v>
      </c>
      <c r="D15" s="53" t="s">
        <v>525</v>
      </c>
      <c r="E15" s="52" t="s">
        <v>428</v>
      </c>
      <c r="F15" s="53" t="s">
        <v>526</v>
      </c>
      <c r="G15" s="53" t="s">
        <v>527</v>
      </c>
      <c r="H15" s="53" t="s">
        <v>493</v>
      </c>
      <c r="I15" s="52" t="n">
        <v>4.7</v>
      </c>
      <c r="J15" s="53" t="s">
        <v>481</v>
      </c>
      <c r="K15" s="53" t="s">
        <v>523</v>
      </c>
      <c r="L15" s="53"/>
    </row>
    <row r="16" customFormat="false" ht="15" hidden="false" customHeight="false" outlineLevel="0" collapsed="false">
      <c r="A16" s="52" t="n">
        <v>12</v>
      </c>
      <c r="B16" s="52" t="s">
        <v>528</v>
      </c>
      <c r="C16" s="52" t="s">
        <v>476</v>
      </c>
      <c r="D16" s="53" t="s">
        <v>529</v>
      </c>
      <c r="E16" s="52" t="s">
        <v>372</v>
      </c>
      <c r="F16" s="53" t="s">
        <v>492</v>
      </c>
      <c r="G16" s="53" t="s">
        <v>502</v>
      </c>
      <c r="H16" s="53" t="s">
        <v>520</v>
      </c>
      <c r="I16" s="52" t="n">
        <v>8.1</v>
      </c>
      <c r="J16" s="53" t="s">
        <v>481</v>
      </c>
      <c r="K16" s="53" t="s">
        <v>481</v>
      </c>
      <c r="L16" s="53"/>
    </row>
    <row r="17" customFormat="false" ht="15" hidden="false" customHeight="false" outlineLevel="0" collapsed="false">
      <c r="A17" s="52" t="n">
        <v>13</v>
      </c>
      <c r="B17" s="52" t="s">
        <v>530</v>
      </c>
      <c r="C17" s="52" t="s">
        <v>531</v>
      </c>
      <c r="D17" s="53" t="s">
        <v>532</v>
      </c>
      <c r="E17" s="52" t="s">
        <v>415</v>
      </c>
      <c r="F17" s="53" t="s">
        <v>533</v>
      </c>
      <c r="G17" s="53" t="s">
        <v>479</v>
      </c>
      <c r="H17" s="53" t="s">
        <v>509</v>
      </c>
      <c r="I17" s="52" t="n">
        <v>5</v>
      </c>
      <c r="J17" s="53" t="s">
        <v>481</v>
      </c>
      <c r="K17" s="53" t="s">
        <v>534</v>
      </c>
      <c r="L17" s="53"/>
    </row>
    <row r="18" customFormat="false" ht="15" hidden="false" customHeight="false" outlineLevel="0" collapsed="false">
      <c r="A18" s="52" t="n">
        <v>14</v>
      </c>
      <c r="B18" s="52" t="s">
        <v>535</v>
      </c>
      <c r="C18" s="52" t="s">
        <v>531</v>
      </c>
      <c r="D18" s="53" t="s">
        <v>536</v>
      </c>
      <c r="E18" s="52" t="s">
        <v>372</v>
      </c>
      <c r="F18" s="53" t="s">
        <v>537</v>
      </c>
      <c r="G18" s="53" t="s">
        <v>502</v>
      </c>
      <c r="H18" s="53" t="s">
        <v>503</v>
      </c>
      <c r="I18" s="52" t="n">
        <v>17.6</v>
      </c>
      <c r="J18" s="54" t="s">
        <v>494</v>
      </c>
      <c r="K18" s="53" t="s">
        <v>488</v>
      </c>
      <c r="L18" s="53" t="s">
        <v>489</v>
      </c>
    </row>
    <row r="19" customFormat="false" ht="15" hidden="false" customHeight="false" outlineLevel="0" collapsed="false">
      <c r="A19" s="52" t="n">
        <v>15</v>
      </c>
      <c r="B19" s="52" t="s">
        <v>538</v>
      </c>
      <c r="C19" s="52" t="s">
        <v>531</v>
      </c>
      <c r="D19" s="53" t="s">
        <v>539</v>
      </c>
      <c r="E19" s="52" t="s">
        <v>424</v>
      </c>
      <c r="F19" s="53" t="s">
        <v>540</v>
      </c>
      <c r="G19" s="53" t="s">
        <v>485</v>
      </c>
      <c r="H19" s="53" t="s">
        <v>503</v>
      </c>
      <c r="I19" s="52" t="n">
        <v>9.2</v>
      </c>
      <c r="J19" s="53" t="s">
        <v>481</v>
      </c>
      <c r="K19" s="53" t="s">
        <v>488</v>
      </c>
      <c r="L19" s="53"/>
    </row>
    <row r="20" customFormat="false" ht="15" hidden="false" customHeight="false" outlineLevel="0" collapsed="false">
      <c r="A20" s="52" t="n">
        <v>16</v>
      </c>
      <c r="B20" s="52" t="s">
        <v>541</v>
      </c>
      <c r="C20" s="52" t="s">
        <v>531</v>
      </c>
      <c r="D20" s="53" t="s">
        <v>542</v>
      </c>
      <c r="E20" s="52" t="s">
        <v>420</v>
      </c>
      <c r="F20" s="53" t="s">
        <v>543</v>
      </c>
      <c r="G20" s="53" t="s">
        <v>485</v>
      </c>
      <c r="H20" s="53" t="s">
        <v>509</v>
      </c>
      <c r="I20" s="52" t="n">
        <v>7.1</v>
      </c>
      <c r="J20" s="53" t="s">
        <v>481</v>
      </c>
      <c r="K20" s="53" t="s">
        <v>481</v>
      </c>
      <c r="L20" s="53"/>
    </row>
    <row r="21" customFormat="false" ht="15" hidden="false" customHeight="false" outlineLevel="0" collapsed="false">
      <c r="A21" s="52" t="n">
        <v>17</v>
      </c>
      <c r="B21" s="52" t="s">
        <v>544</v>
      </c>
      <c r="C21" s="52" t="s">
        <v>531</v>
      </c>
      <c r="D21" s="53" t="s">
        <v>545</v>
      </c>
      <c r="E21" s="52" t="s">
        <v>420</v>
      </c>
      <c r="F21" s="53" t="s">
        <v>507</v>
      </c>
      <c r="G21" s="53" t="s">
        <v>502</v>
      </c>
      <c r="H21" s="53" t="s">
        <v>546</v>
      </c>
      <c r="I21" s="52" t="n">
        <v>11.8</v>
      </c>
      <c r="J21" s="53" t="s">
        <v>481</v>
      </c>
      <c r="K21" s="53" t="s">
        <v>488</v>
      </c>
      <c r="L21" s="53"/>
    </row>
    <row r="22" customFormat="false" ht="15" hidden="false" customHeight="false" outlineLevel="0" collapsed="false">
      <c r="A22" s="52" t="n">
        <v>18</v>
      </c>
      <c r="B22" s="52" t="s">
        <v>547</v>
      </c>
      <c r="C22" s="52" t="s">
        <v>531</v>
      </c>
      <c r="D22" s="53" t="s">
        <v>548</v>
      </c>
      <c r="E22" s="52" t="s">
        <v>424</v>
      </c>
      <c r="F22" s="53" t="s">
        <v>478</v>
      </c>
      <c r="G22" s="53" t="s">
        <v>485</v>
      </c>
      <c r="H22" s="53" t="s">
        <v>486</v>
      </c>
      <c r="I22" s="52" t="n">
        <v>16.1</v>
      </c>
      <c r="J22" s="53" t="s">
        <v>481</v>
      </c>
      <c r="K22" s="53" t="s">
        <v>498</v>
      </c>
      <c r="L22" s="53"/>
    </row>
    <row r="23" customFormat="false" ht="15" hidden="false" customHeight="false" outlineLevel="0" collapsed="false">
      <c r="A23" s="52" t="n">
        <v>19</v>
      </c>
      <c r="B23" s="52" t="s">
        <v>549</v>
      </c>
      <c r="C23" s="52" t="s">
        <v>550</v>
      </c>
      <c r="D23" s="53" t="s">
        <v>532</v>
      </c>
      <c r="E23" s="52" t="s">
        <v>372</v>
      </c>
      <c r="F23" s="53" t="s">
        <v>551</v>
      </c>
      <c r="G23" s="53" t="s">
        <v>479</v>
      </c>
      <c r="H23" s="53" t="s">
        <v>509</v>
      </c>
      <c r="I23" s="52" t="n">
        <v>9.9</v>
      </c>
      <c r="J23" s="54" t="s">
        <v>487</v>
      </c>
      <c r="K23" s="53" t="s">
        <v>552</v>
      </c>
      <c r="L23" s="53" t="s">
        <v>489</v>
      </c>
    </row>
    <row r="24" customFormat="false" ht="15" hidden="false" customHeight="false" outlineLevel="0" collapsed="false">
      <c r="A24" s="52" t="n">
        <v>20</v>
      </c>
      <c r="B24" s="52" t="s">
        <v>553</v>
      </c>
      <c r="C24" s="52" t="s">
        <v>550</v>
      </c>
      <c r="D24" s="53" t="s">
        <v>542</v>
      </c>
      <c r="E24" s="52" t="s">
        <v>428</v>
      </c>
      <c r="F24" s="53" t="s">
        <v>554</v>
      </c>
      <c r="G24" s="53" t="s">
        <v>502</v>
      </c>
      <c r="H24" s="53" t="s">
        <v>555</v>
      </c>
      <c r="I24" s="52" t="n">
        <v>13.2</v>
      </c>
      <c r="J24" s="53" t="s">
        <v>481</v>
      </c>
      <c r="K24" s="53" t="s">
        <v>556</v>
      </c>
      <c r="L24" s="53"/>
    </row>
    <row r="25" customFormat="false" ht="15" hidden="false" customHeight="false" outlineLevel="0" collapsed="false">
      <c r="A25" s="52" t="n">
        <v>21</v>
      </c>
      <c r="B25" s="52" t="s">
        <v>557</v>
      </c>
      <c r="C25" s="52" t="s">
        <v>550</v>
      </c>
      <c r="D25" s="53" t="s">
        <v>558</v>
      </c>
      <c r="E25" s="52" t="s">
        <v>424</v>
      </c>
      <c r="F25" s="53" t="s">
        <v>537</v>
      </c>
      <c r="G25" s="53" t="s">
        <v>502</v>
      </c>
      <c r="H25" s="53" t="s">
        <v>493</v>
      </c>
      <c r="I25" s="52" t="n">
        <v>4.4</v>
      </c>
      <c r="J25" s="53" t="s">
        <v>481</v>
      </c>
      <c r="K25" s="53" t="s">
        <v>498</v>
      </c>
      <c r="L25" s="53"/>
    </row>
    <row r="26" customFormat="false" ht="15" hidden="false" customHeight="false" outlineLevel="0" collapsed="false">
      <c r="A26" s="52" t="n">
        <v>22</v>
      </c>
      <c r="B26" s="52" t="s">
        <v>559</v>
      </c>
      <c r="C26" s="52" t="s">
        <v>550</v>
      </c>
      <c r="D26" s="53" t="s">
        <v>560</v>
      </c>
      <c r="E26" s="52" t="s">
        <v>372</v>
      </c>
      <c r="F26" s="53" t="s">
        <v>478</v>
      </c>
      <c r="G26" s="53" t="s">
        <v>502</v>
      </c>
      <c r="H26" s="53" t="s">
        <v>486</v>
      </c>
      <c r="I26" s="52" t="n">
        <v>2.6</v>
      </c>
      <c r="J26" s="53" t="s">
        <v>481</v>
      </c>
      <c r="K26" s="53" t="s">
        <v>488</v>
      </c>
      <c r="L26" s="53"/>
    </row>
    <row r="27" customFormat="false" ht="15" hidden="false" customHeight="false" outlineLevel="0" collapsed="false">
      <c r="A27" s="52" t="n">
        <v>23</v>
      </c>
      <c r="B27" s="52" t="s">
        <v>561</v>
      </c>
      <c r="C27" s="52" t="s">
        <v>550</v>
      </c>
      <c r="D27" s="53" t="s">
        <v>562</v>
      </c>
      <c r="E27" s="52" t="s">
        <v>424</v>
      </c>
      <c r="F27" s="53" t="s">
        <v>563</v>
      </c>
      <c r="G27" s="53" t="s">
        <v>502</v>
      </c>
      <c r="H27" s="53" t="s">
        <v>486</v>
      </c>
      <c r="I27" s="52" t="n">
        <v>6.8</v>
      </c>
      <c r="J27" s="53" t="s">
        <v>481</v>
      </c>
      <c r="K27" s="53" t="s">
        <v>523</v>
      </c>
      <c r="L27" s="53"/>
    </row>
    <row r="28" customFormat="false" ht="15" hidden="false" customHeight="false" outlineLevel="0" collapsed="false">
      <c r="A28" s="52" t="n">
        <v>24</v>
      </c>
      <c r="B28" s="52" t="s">
        <v>564</v>
      </c>
      <c r="C28" s="52" t="s">
        <v>565</v>
      </c>
      <c r="D28" s="53" t="s">
        <v>566</v>
      </c>
      <c r="E28" s="52" t="s">
        <v>372</v>
      </c>
      <c r="F28" s="53" t="s">
        <v>567</v>
      </c>
      <c r="G28" s="53" t="s">
        <v>519</v>
      </c>
      <c r="H28" s="53" t="s">
        <v>486</v>
      </c>
      <c r="I28" s="52" t="n">
        <v>14.7</v>
      </c>
      <c r="J28" s="54" t="s">
        <v>494</v>
      </c>
      <c r="K28" s="53" t="s">
        <v>534</v>
      </c>
      <c r="L28" s="53" t="s">
        <v>489</v>
      </c>
    </row>
    <row r="29" customFormat="false" ht="15" hidden="false" customHeight="false" outlineLevel="0" collapsed="false">
      <c r="A29" s="52" t="n">
        <v>25</v>
      </c>
      <c r="B29" s="52" t="s">
        <v>568</v>
      </c>
      <c r="C29" s="52" t="s">
        <v>565</v>
      </c>
      <c r="D29" s="53" t="s">
        <v>569</v>
      </c>
      <c r="E29" s="52" t="s">
        <v>428</v>
      </c>
      <c r="F29" s="53" t="s">
        <v>501</v>
      </c>
      <c r="G29" s="53" t="s">
        <v>519</v>
      </c>
      <c r="H29" s="53" t="s">
        <v>520</v>
      </c>
      <c r="I29" s="52" t="n">
        <v>9.7</v>
      </c>
      <c r="J29" s="53" t="s">
        <v>481</v>
      </c>
      <c r="K29" s="53" t="s">
        <v>488</v>
      </c>
      <c r="L29" s="53"/>
    </row>
    <row r="30" customFormat="false" ht="15" hidden="false" customHeight="false" outlineLevel="0" collapsed="false">
      <c r="A30" s="52" t="n">
        <v>26</v>
      </c>
      <c r="B30" s="52" t="s">
        <v>570</v>
      </c>
      <c r="C30" s="52" t="s">
        <v>565</v>
      </c>
      <c r="D30" s="53" t="s">
        <v>571</v>
      </c>
      <c r="E30" s="52" t="s">
        <v>424</v>
      </c>
      <c r="F30" s="53" t="s">
        <v>533</v>
      </c>
      <c r="G30" s="53" t="s">
        <v>479</v>
      </c>
      <c r="H30" s="53" t="s">
        <v>486</v>
      </c>
      <c r="I30" s="52" t="n">
        <v>5.4</v>
      </c>
      <c r="J30" s="53" t="s">
        <v>481</v>
      </c>
      <c r="K30" s="53" t="s">
        <v>552</v>
      </c>
      <c r="L30" s="53"/>
    </row>
    <row r="31" customFormat="false" ht="15" hidden="false" customHeight="false" outlineLevel="0" collapsed="false">
      <c r="A31" s="52" t="n">
        <v>27</v>
      </c>
      <c r="B31" s="52" t="s">
        <v>572</v>
      </c>
      <c r="C31" s="52" t="s">
        <v>565</v>
      </c>
      <c r="D31" s="53" t="s">
        <v>573</v>
      </c>
      <c r="E31" s="52" t="s">
        <v>428</v>
      </c>
      <c r="F31" s="53" t="s">
        <v>478</v>
      </c>
      <c r="G31" s="53" t="s">
        <v>485</v>
      </c>
      <c r="H31" s="53" t="s">
        <v>493</v>
      </c>
      <c r="I31" s="52" t="n">
        <v>15</v>
      </c>
      <c r="J31" s="54" t="s">
        <v>494</v>
      </c>
      <c r="K31" s="53" t="s">
        <v>481</v>
      </c>
      <c r="L31" s="53" t="s">
        <v>489</v>
      </c>
    </row>
    <row r="32" customFormat="false" ht="15" hidden="false" customHeight="false" outlineLevel="0" collapsed="false">
      <c r="A32" s="52" t="n">
        <v>28</v>
      </c>
      <c r="B32" s="52" t="s">
        <v>574</v>
      </c>
      <c r="C32" s="52" t="s">
        <v>575</v>
      </c>
      <c r="D32" s="53" t="s">
        <v>571</v>
      </c>
      <c r="E32" s="52" t="s">
        <v>372</v>
      </c>
      <c r="F32" s="53" t="s">
        <v>484</v>
      </c>
      <c r="G32" s="53" t="s">
        <v>485</v>
      </c>
      <c r="H32" s="53" t="s">
        <v>486</v>
      </c>
      <c r="I32" s="52" t="n">
        <v>5.1</v>
      </c>
      <c r="J32" s="53" t="s">
        <v>481</v>
      </c>
      <c r="K32" s="53" t="s">
        <v>504</v>
      </c>
      <c r="L32" s="53"/>
    </row>
    <row r="33" customFormat="false" ht="15" hidden="false" customHeight="false" outlineLevel="0" collapsed="false">
      <c r="A33" s="52" t="n">
        <v>29</v>
      </c>
      <c r="B33" s="52" t="s">
        <v>576</v>
      </c>
      <c r="C33" s="52" t="s">
        <v>575</v>
      </c>
      <c r="D33" s="53" t="s">
        <v>577</v>
      </c>
      <c r="E33" s="52" t="s">
        <v>420</v>
      </c>
      <c r="F33" s="53" t="s">
        <v>526</v>
      </c>
      <c r="G33" s="53" t="s">
        <v>485</v>
      </c>
      <c r="H33" s="53" t="s">
        <v>520</v>
      </c>
      <c r="I33" s="52" t="n">
        <v>6.6</v>
      </c>
      <c r="J33" s="54" t="s">
        <v>494</v>
      </c>
      <c r="K33" s="53" t="s">
        <v>504</v>
      </c>
      <c r="L33" s="53" t="s">
        <v>489</v>
      </c>
    </row>
    <row r="34" customFormat="false" ht="15" hidden="false" customHeight="false" outlineLevel="0" collapsed="false">
      <c r="A34" s="52" t="n">
        <v>30</v>
      </c>
      <c r="B34" s="52" t="s">
        <v>578</v>
      </c>
      <c r="C34" s="52" t="s">
        <v>579</v>
      </c>
      <c r="D34" s="53" t="s">
        <v>580</v>
      </c>
      <c r="E34" s="52" t="s">
        <v>372</v>
      </c>
      <c r="F34" s="53" t="s">
        <v>581</v>
      </c>
      <c r="G34" s="53" t="s">
        <v>479</v>
      </c>
      <c r="H34" s="53" t="s">
        <v>486</v>
      </c>
      <c r="I34" s="52" t="n">
        <v>7.1</v>
      </c>
      <c r="J34" s="53" t="s">
        <v>481</v>
      </c>
      <c r="K34" s="53" t="s">
        <v>582</v>
      </c>
      <c r="L34" s="53"/>
    </row>
    <row r="36" customFormat="false" ht="15" hidden="false" customHeight="true" outlineLevel="0" collapsed="false">
      <c r="A36" s="55" t="s">
        <v>583</v>
      </c>
      <c r="B36" s="55"/>
      <c r="C36" s="55"/>
      <c r="D36" s="55"/>
      <c r="E36" s="55"/>
      <c r="F36" s="55"/>
      <c r="G36" s="55"/>
      <c r="H36" s="55"/>
      <c r="I36" s="55"/>
      <c r="J36" s="55"/>
      <c r="K36" s="55"/>
      <c r="L36" s="55"/>
    </row>
    <row r="37" customFormat="false" ht="15" hidden="false" customHeight="false" outlineLevel="0" collapsed="false">
      <c r="A37" s="55"/>
      <c r="B37" s="55"/>
      <c r="C37" s="55"/>
      <c r="D37" s="55"/>
      <c r="E37" s="55"/>
      <c r="F37" s="55"/>
      <c r="G37" s="55"/>
      <c r="H37" s="55"/>
      <c r="I37" s="55"/>
      <c r="J37" s="55"/>
      <c r="K37" s="55"/>
      <c r="L37" s="55"/>
    </row>
  </sheetData>
  <mergeCells count="3">
    <mergeCell ref="A1:L1"/>
    <mergeCell ref="A2:L2"/>
    <mergeCell ref="A36:L3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2026-08-13T01:14:11Z</dcterms:created>
  <dc:creator>openpyxl</dc:creator>
  <dc:description/>
  <dc:language>en-US</dc:language>
  <cp:lastModifiedBy/>
  <dcterms:modified xsi:type="dcterms:W3CDTF">2026-08-13T01:14:11Z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