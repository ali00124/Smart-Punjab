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D_Main\training\dashboard\"/>
    </mc:Choice>
  </mc:AlternateContent>
  <xr:revisionPtr revIDLastSave="0" documentId="13_ncr:1_{AB892047-8237-4633-B57C-EE61069462C4}" xr6:coauthVersionLast="47" xr6:coauthVersionMax="47" xr10:uidLastSave="{00000000-0000-0000-0000-000000000000}"/>
  <bookViews>
    <workbookView xWindow="-108" yWindow="-108" windowWidth="23256" windowHeight="12456" tabRatio="500" firstSheet="6" activeTab="6" xr2:uid="{00000000-000D-0000-FFFF-FFFF00000000}"/>
  </bookViews>
  <sheets>
    <sheet name="1. Combat Potential" sheetId="1" r:id="rId1"/>
    <sheet name="2. Vehicle State" sheetId="2" r:id="rId2"/>
    <sheet name="3. Weapons State" sheetId="3" r:id="rId3"/>
    <sheet name="4. Critical Equipment" sheetId="4" r:id="rId4"/>
    <sheet name="5. Signals Equipment" sheetId="5" r:id="rId5"/>
    <sheet name="6. Ammunition State" sheetId="6" r:id="rId6"/>
    <sheet name="7. POL State" sheetId="7" r:id="rId7"/>
    <sheet name="8. Audit Objections" sheetId="8" r:id="rId8"/>
    <sheet name="9. Upcoming Events" sheetId="9" r:id="rId9"/>
    <sheet name="10. Promotion State" sheetId="10" r:id="rId10"/>
    <sheet name="11. Officers Appointments" sheetId="11" r:id="rId11"/>
    <sheet name="12. Key Appointments JCO-NCO" sheetId="12" r:id="rId12"/>
    <sheet name="13. Personnel Data (Sample)" sheetId="13" r:id="rId13"/>
  </sheets>
  <definedNames>
    <definedName name="_xlnm.Print_Titles" localSheetId="0">'1. Combat Potential'!$1:$2</definedName>
    <definedName name="_xlnm.Print_Titles" localSheetId="9">'10. Promotion State'!$1:$2</definedName>
    <definedName name="_xlnm.Print_Titles" localSheetId="10">'11. Officers Appointments'!$1:$2</definedName>
    <definedName name="_xlnm.Print_Titles" localSheetId="11">'12. Key Appointments JCO-NCO'!$1:$2</definedName>
    <definedName name="_xlnm.Print_Titles" localSheetId="12">'13. Personnel Data (Sample)'!$1:$2</definedName>
    <definedName name="_xlnm.Print_Titles" localSheetId="1">'2. Vehicle State'!$1:$2</definedName>
    <definedName name="_xlnm.Print_Titles" localSheetId="2">'3. Weapons State'!$1:$2</definedName>
    <definedName name="_xlnm.Print_Titles" localSheetId="3">'4. Critical Equipment'!$1:$2</definedName>
    <definedName name="_xlnm.Print_Titles" localSheetId="4">'5. Signals Equipment'!$1:$2</definedName>
    <definedName name="_xlnm.Print_Titles" localSheetId="5">'6. Ammunition State'!$1:$2</definedName>
    <definedName name="_xlnm.Print_Titles" localSheetId="6">'7. POL State'!$1:$2</definedName>
    <definedName name="_xlnm.Print_Titles" localSheetId="7">'8. Audit Objections'!$1:$2</definedName>
    <definedName name="_xlnm.Print_Titles" localSheetId="8">'9. Upcoming Events'!$1:$2</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11" i="10" l="1"/>
  <c r="E8" i="8"/>
  <c r="C8" i="8"/>
  <c r="D8" i="7"/>
  <c r="C8" i="7"/>
  <c r="E7" i="7"/>
  <c r="E6" i="7"/>
  <c r="E5" i="7"/>
  <c r="F18" i="6"/>
  <c r="E18" i="6"/>
  <c r="F17" i="6"/>
  <c r="E17" i="6"/>
  <c r="F16" i="6"/>
  <c r="E16" i="6"/>
  <c r="F15" i="6"/>
  <c r="E15" i="6"/>
  <c r="F14" i="6"/>
  <c r="E14" i="6"/>
  <c r="F13" i="6"/>
  <c r="E13" i="6"/>
  <c r="F9" i="6"/>
  <c r="E9" i="6"/>
  <c r="F8" i="6"/>
  <c r="E8" i="6"/>
  <c r="F7" i="6"/>
  <c r="E7" i="6"/>
  <c r="F6" i="6"/>
  <c r="E6" i="6"/>
  <c r="F10" i="5"/>
  <c r="E10" i="5"/>
  <c r="D10" i="5"/>
  <c r="H10" i="5" s="1"/>
  <c r="C10" i="5"/>
  <c r="G10" i="5" s="1"/>
  <c r="H9" i="5"/>
  <c r="G9" i="5"/>
  <c r="H8" i="5"/>
  <c r="G8" i="5"/>
  <c r="H7" i="5"/>
  <c r="G7" i="5"/>
  <c r="H6" i="5"/>
  <c r="G6" i="5"/>
  <c r="H5" i="5"/>
  <c r="G5" i="5"/>
  <c r="F14" i="4"/>
  <c r="E14" i="4"/>
  <c r="D14" i="4"/>
  <c r="H14" i="4" s="1"/>
  <c r="C14" i="4"/>
  <c r="G14" i="4" s="1"/>
  <c r="H13" i="4"/>
  <c r="G13" i="4"/>
  <c r="H12" i="4"/>
  <c r="G12" i="4"/>
  <c r="H11" i="4"/>
  <c r="G11" i="4"/>
  <c r="H10" i="4"/>
  <c r="G10" i="4"/>
  <c r="H9" i="4"/>
  <c r="G9" i="4"/>
  <c r="H8" i="4"/>
  <c r="G8" i="4"/>
  <c r="H7" i="4"/>
  <c r="G7" i="4"/>
  <c r="H6" i="4"/>
  <c r="G6" i="4"/>
  <c r="H5" i="4"/>
  <c r="G5" i="4"/>
  <c r="K16" i="3"/>
  <c r="J16" i="3"/>
  <c r="I16" i="3"/>
  <c r="H16" i="3"/>
  <c r="G16" i="3"/>
  <c r="D16" i="3"/>
  <c r="C16" i="3"/>
  <c r="F16" i="3" s="1"/>
  <c r="F15" i="3"/>
  <c r="E15" i="3"/>
  <c r="F14" i="3"/>
  <c r="E14" i="3"/>
  <c r="F13" i="3"/>
  <c r="E13" i="3"/>
  <c r="F12" i="3"/>
  <c r="E12" i="3"/>
  <c r="F11" i="3"/>
  <c r="E11" i="3"/>
  <c r="F10" i="3"/>
  <c r="E10" i="3"/>
  <c r="F9" i="3"/>
  <c r="E9" i="3"/>
  <c r="F8" i="3"/>
  <c r="E8" i="3"/>
  <c r="F7" i="3"/>
  <c r="E7" i="3"/>
  <c r="F6" i="3"/>
  <c r="E6" i="3"/>
  <c r="F5" i="3"/>
  <c r="E5" i="3"/>
  <c r="G21" i="2"/>
  <c r="E21" i="2"/>
  <c r="D21" i="2"/>
  <c r="H21" i="2" s="1"/>
  <c r="G19" i="2"/>
  <c r="F19" i="2"/>
  <c r="E19" i="2"/>
  <c r="D19" i="2"/>
  <c r="H19" i="2" s="1"/>
  <c r="C19" i="2"/>
  <c r="I19" i="2" s="1"/>
  <c r="I18" i="2"/>
  <c r="H18" i="2"/>
  <c r="I17" i="2"/>
  <c r="H17" i="2"/>
  <c r="I16" i="2"/>
  <c r="H16" i="2"/>
  <c r="I15" i="2"/>
  <c r="H15" i="2"/>
  <c r="I14" i="2"/>
  <c r="H14" i="2"/>
  <c r="I13" i="2"/>
  <c r="H13" i="2"/>
  <c r="H9" i="2"/>
  <c r="G9" i="2"/>
  <c r="F9" i="2"/>
  <c r="F21" i="2" s="1"/>
  <c r="E9" i="2"/>
  <c r="D9" i="2"/>
  <c r="C9" i="2"/>
  <c r="C21" i="2" s="1"/>
  <c r="I21" i="2" s="1"/>
  <c r="I8" i="2"/>
  <c r="H8" i="2"/>
  <c r="I7" i="2"/>
  <c r="H7" i="2"/>
  <c r="I6" i="2"/>
  <c r="H6" i="2"/>
  <c r="B29" i="1"/>
  <c r="C29" i="1" s="1"/>
  <c r="B27" i="1"/>
  <c r="D26" i="1"/>
  <c r="C26" i="1"/>
  <c r="D25" i="1"/>
  <c r="C25" i="1"/>
  <c r="D24" i="1"/>
  <c r="C24" i="1"/>
  <c r="D23" i="1"/>
  <c r="C23" i="1"/>
  <c r="D22" i="1"/>
  <c r="C22" i="1"/>
  <c r="D21" i="1"/>
  <c r="C21" i="1"/>
  <c r="D20" i="1"/>
  <c r="C20" i="1"/>
  <c r="D19" i="1"/>
  <c r="C19" i="1"/>
  <c r="D12" i="1"/>
  <c r="F12" i="1" s="1"/>
  <c r="F11" i="1"/>
  <c r="D11" i="1"/>
  <c r="D10" i="1"/>
  <c r="F10" i="1" s="1"/>
  <c r="D9" i="1"/>
  <c r="F9" i="1" s="1"/>
  <c r="D8" i="1"/>
  <c r="F8" i="1" s="1"/>
  <c r="F7" i="1"/>
  <c r="D7" i="1"/>
  <c r="D6" i="1"/>
  <c r="F6" i="1" s="1"/>
  <c r="E8" i="7" l="1"/>
  <c r="F13" i="1"/>
  <c r="I9" i="2"/>
  <c r="E16" i="3"/>
</calcChain>
</file>

<file path=xl/sharedStrings.xml><?xml version="1.0" encoding="utf-8"?>
<sst xmlns="http://schemas.openxmlformats.org/spreadsheetml/2006/main" count="863" uniqueCount="584">
  <si>
    <t>UNIT STATE – COMBAT POTENTIAL &amp; MANPOWER SUMMARY</t>
  </si>
  <si>
    <t>XX Mechanized Infantry Battalion  |  25 Mechanized Division  |  As on: 13 Aug 2026  |  Classification: FOR OFFICIAL USE ONLY</t>
  </si>
  <si>
    <t>OVERALL COMBAT POTENTIAL DASHBOARD</t>
  </si>
  <si>
    <t>Parameter</t>
  </si>
  <si>
    <t>Authorized</t>
  </si>
  <si>
    <t>Held / Serviceable</t>
  </si>
  <si>
    <t>Availability %</t>
  </si>
  <si>
    <t>Weightage</t>
  </si>
  <si>
    <t>Weighted Score</t>
  </si>
  <si>
    <t>Manpower (Available)</t>
  </si>
  <si>
    <t>A-Vehicles Serviceability</t>
  </si>
  <si>
    <t>B-Vehicles Serviceability</t>
  </si>
  <si>
    <t>Personal Weapons (Cl-1/2)</t>
  </si>
  <si>
    <t>Crew-Served / Heavy Wpns</t>
  </si>
  <si>
    <t>Critical Eqpt (NVD/LRF etc)</t>
  </si>
  <si>
    <t>Signals Equipment</t>
  </si>
  <si>
    <t>OVERALL COMBAT POTENTIAL</t>
  </si>
  <si>
    <t>Note: Overall Combat Potential is a weighted composite. Target for high readiness units is ≥ 75%.</t>
  </si>
  <si>
    <t>MANPOWER STRENGTH STATE</t>
  </si>
  <si>
    <t>Category</t>
  </si>
  <si>
    <t>Strength</t>
  </si>
  <si>
    <t>% of Held</t>
  </si>
  <si>
    <t>% of Authorized</t>
  </si>
  <si>
    <t>Remarks</t>
  </si>
  <si>
    <t>AUTHORIZED STRENGTH</t>
  </si>
  <si>
    <t>-</t>
  </si>
  <si>
    <t>100%</t>
  </si>
  <si>
    <t>War Establishment</t>
  </si>
  <si>
    <t>HELD STRENGTH</t>
  </si>
  <si>
    <t>Current Posted Strength</t>
  </si>
  <si>
    <t>On Privilege Leave (P Leave)</t>
  </si>
  <si>
    <t>Annual leave / accumulated</t>
  </si>
  <si>
    <t>On Casual Leave (C Leave)</t>
  </si>
  <si>
    <t>Short leave / urgent</t>
  </si>
  <si>
    <t>Formation Guard Duties</t>
  </si>
  <si>
    <t>Div / Bde HQ &amp; installations</t>
  </si>
  <si>
    <t>Out Station Guard Duties</t>
  </si>
  <si>
    <t>Static dets / VIP / key points</t>
  </si>
  <si>
    <t>Attachments in Various HQs</t>
  </si>
  <si>
    <t>Div/Bde/Corps/GHQ attachments</t>
  </si>
  <si>
    <t>On Various Courses</t>
  </si>
  <si>
    <t>BC, JC, Technical, Trade courses</t>
  </si>
  <si>
    <t>AVAILABLE MANPOWER</t>
  </si>
  <si>
    <t>Present for duty / training</t>
  </si>
  <si>
    <t>TOTAL HELD (Check)</t>
  </si>
  <si>
    <t>DEFICIENCY (Auth - Held)</t>
  </si>
  <si>
    <t>Under-posted; recruitment / posting in progress</t>
  </si>
  <si>
    <t>KEY OBSERVATIONS:
• Available Manpower stands at 310 (41.3% of Auth / 57.4% of Held). This is the effective strength available for operational tasks &amp; training.
• Significant numbers committed to guard duties (Formation + Out Station = 90) and courses (45) reduce immediate combat power.
• Overall Combat Potential calculated above incorporates vehicle, weapon and equipment readiness weighted by operational importance.</t>
  </si>
  <si>
    <t>VEHICLE STATE – A &amp; B VEHICLES</t>
  </si>
  <si>
    <t>XX Mech Inf Bn  |  As on 13 Aug 2026</t>
  </si>
  <si>
    <t>A – VEHICLES (Tracked / Armoured)</t>
  </si>
  <si>
    <t>S/No</t>
  </si>
  <si>
    <t>Type of Vehicle</t>
  </si>
  <si>
    <t>Held</t>
  </si>
  <si>
    <t>On Road</t>
  </si>
  <si>
    <t>Off Road</t>
  </si>
  <si>
    <t>In Workshop</t>
  </si>
  <si>
    <t>Serviceability %</t>
  </si>
  <si>
    <t>Deficiency</t>
  </si>
  <si>
    <t>APC (M113 / Al-Talha type)</t>
  </si>
  <si>
    <t>2 under deep repair at EME Bn</t>
  </si>
  <si>
    <t>ARV (Armoured Recovery Vehicle)</t>
  </si>
  <si>
    <t>1 x engine overhaul</t>
  </si>
  <si>
    <t>Command APC / IFV variants</t>
  </si>
  <si>
    <t>Fully serviceable</t>
  </si>
  <si>
    <t>TOTAL A-VEHICLES</t>
  </si>
  <si>
    <t>B – VEHICLES (Wheeled Soft-Skin)</t>
  </si>
  <si>
    <t>5-Ton Truck (Bedford / Hino)</t>
  </si>
  <si>
    <t>1 x clutch &amp; gearbox</t>
  </si>
  <si>
    <t>Double Cabin (Toyota / Isuzu)</t>
  </si>
  <si>
    <t>Routine maintenance</t>
  </si>
  <si>
    <t>Jeep / 4x4 Utility</t>
  </si>
  <si>
    <t>Water Bowzer (2000/3000 L)</t>
  </si>
  <si>
    <t>Serviceable</t>
  </si>
  <si>
    <t>RKR / Recovery Light</t>
  </si>
  <si>
    <t>1 x off-road for tyres</t>
  </si>
  <si>
    <t>Motorcycle (Honda / Yamaha)</t>
  </si>
  <si>
    <t>1 x accident damage</t>
  </si>
  <si>
    <t>TOTAL B-VEHICLES</t>
  </si>
  <si>
    <t>GRAND TOTAL (A + B)</t>
  </si>
  <si>
    <t>NOTES:
• On Road = Fully serviceable and available for operational deployment.
• Off Road = Temporarily unserviceable (awaiting spares / minor repair within unit).
• In Workshop = Sent to EME / Base Workshop for major repair or overhaul.
• Serviceability % calculated on Held strength (On Road / Held).</t>
  </si>
  <si>
    <t>WEAPONS STATE – AUTHORIZED vs HELD</t>
  </si>
  <si>
    <t>Weapon Type</t>
  </si>
  <si>
    <t>Held %</t>
  </si>
  <si>
    <t>Cl-1 (S)</t>
  </si>
  <si>
    <t>Cl-2 (S)</t>
  </si>
  <si>
    <t>Cl-3 (S)</t>
  </si>
  <si>
    <t>Cl-4 (WS)</t>
  </si>
  <si>
    <t>Cl-5/6 (Condemn)</t>
  </si>
  <si>
    <t>Rifle G3 (7.62mm)</t>
  </si>
  <si>
    <t>SMG / MP5</t>
  </si>
  <si>
    <t>LMG (MG3 / PKM type)</t>
  </si>
  <si>
    <t>12.7 mm HMG</t>
  </si>
  <si>
    <t>Pistol (9mm)</t>
  </si>
  <si>
    <t>RPG-7</t>
  </si>
  <si>
    <t>60 mm Mortar</t>
  </si>
  <si>
    <t>81 mm Mortar</t>
  </si>
  <si>
    <t>LSR / Sniper Rifle</t>
  </si>
  <si>
    <t>ATGM (Baktar-Shikan / TOW type)</t>
  </si>
  <si>
    <t>Pencil / Training Shooting Aid</t>
  </si>
  <si>
    <t>TOTAL</t>
  </si>
  <si>
    <t>CLASSIFICATION LEGEND:
Cl-1  = Fully serviceable, ready for immediate use  |  Cl-2  = Serviceable with minor issues (unit level repairable)  |  Cl-3  = Requires higher level inspection / limited use
Cl-4  = Sent to Workshop / EME for repair  |  Cl-5 &amp; Cl-6  = Condemned / Beyond economical repair / Declared unusable (awaiting board / disposal)
Held % = Held / Authorized.  Serviceable weapons for combat calculation = Cl-1 + Cl-2 primarily.</t>
  </si>
  <si>
    <t>CRITICAL EQUIPMENT STATE (NIGHT VISION, OBSERVATION &amp; TARGETING)</t>
  </si>
  <si>
    <t>Equipment Type</t>
  </si>
  <si>
    <t>Unserviceable</t>
  </si>
  <si>
    <t>AN/PVS-4A (Weapon Sight)</t>
  </si>
  <si>
    <t>AN/PVS-5A (Goggles)</t>
  </si>
  <si>
    <t>AN/PVS-7D (Goggles)</t>
  </si>
  <si>
    <t>TWS (Thermal Weapon Sight)</t>
  </si>
  <si>
    <t>LRF (Laser Range Finder)</t>
  </si>
  <si>
    <t>NS-685 / Night Sight</t>
  </si>
  <si>
    <t>Binoculars (Day)</t>
  </si>
  <si>
    <t>Compass (Prismatic / Lensatic)</t>
  </si>
  <si>
    <t>GPS Handheld / Vehicle</t>
  </si>
  <si>
    <t>TOTAL CRITICAL EQUIPMENT</t>
  </si>
  <si>
    <t>Note: Night Vision Devices and Thermal sights are critical for night operations and mechanized combat. Priority for repair / replacement of unserviceable items is high.</t>
  </si>
  <si>
    <t>SIGNALS EQUIPMENT STATE</t>
  </si>
  <si>
    <t>Unserviceable / WS</t>
  </si>
  <si>
    <t>SDR Sets (Software Defined Radio)</t>
  </si>
  <si>
    <t>ICom Handheld / Base</t>
  </si>
  <si>
    <t>LMR (Land Mobile Radio) Sets</t>
  </si>
  <si>
    <t>HF Sets – Manpack</t>
  </si>
  <si>
    <t>HF Sets – Vehicular</t>
  </si>
  <si>
    <t>TOTAL SIGNALS EQUIPMENT</t>
  </si>
  <si>
    <t>Note: SDR and HF sets are critical for command &amp; control in mechanized operations. Regular frequency of battery and antenna checks is mandated.</t>
  </si>
  <si>
    <t>AMMUNITION STATE – AUTHORIZED vs HELD</t>
  </si>
  <si>
    <t>XX Mech Inf Bn  |  As on 13 Aug 2026  |  Figures in rounds / units</t>
  </si>
  <si>
    <t>SMALL ARMS AMMUNITION</t>
  </si>
  <si>
    <t>Ammunition Type</t>
  </si>
  <si>
    <t>First Line</t>
  </si>
  <si>
    <t>Second Line / Reserve</t>
  </si>
  <si>
    <t>7.62 mm Ball (G3 / LMG)</t>
  </si>
  <si>
    <t>7.62 mm Tracer</t>
  </si>
  <si>
    <t>9 mm Ball (SMG / Pistol)</t>
  </si>
  <si>
    <t>12.7 mm Ball / API</t>
  </si>
  <si>
    <t>HEAVY WEAPONS, MORTARS, AT &amp; GRENADES</t>
  </si>
  <si>
    <t>RPG-7 HEAT / HE</t>
  </si>
  <si>
    <t>60 mm Mortar HE / Smoke</t>
  </si>
  <si>
    <t>81 mm Mortar HE / Illum / Smoke</t>
  </si>
  <si>
    <t>ATGM Missiles</t>
  </si>
  <si>
    <t>Hand Grenade HE</t>
  </si>
  <si>
    <t>Smoke Grenade</t>
  </si>
  <si>
    <t>Note: First Line = ammunition held with troops / vehicles for immediate use. Second Line = unit reserve held in Ammo Dump. All figures are approximate and for planning purposes only. Actual holdings subject to verification by Ammo NCO &amp; QM.</t>
  </si>
  <si>
    <t>POL STATE (PETROLEUM, OIL &amp; LUBRICANTS)</t>
  </si>
  <si>
    <t>XX Mech Inf Bn  |  As on 13 Aug 2026  |  Quantities in Litres</t>
  </si>
  <si>
    <t>Held Quantity (Litres)</t>
  </si>
  <si>
    <t>Authorized / Entitlement</t>
  </si>
  <si>
    <t>Balance / Deficiency</t>
  </si>
  <si>
    <t>Adm POL (Administrative / Routine)</t>
  </si>
  <si>
    <t>Daily running, MT, generators</t>
  </si>
  <si>
    <t>Training POL</t>
  </si>
  <si>
    <t>Range practices, FTXs, driver trg</t>
  </si>
  <si>
    <t>IS POL (Internal Security / Ops)</t>
  </si>
  <si>
    <t>Reserved for contingencies / ops</t>
  </si>
  <si>
    <t>TOTAL POL HELD</t>
  </si>
  <si>
    <t>NOTES:
• Adm POL – for routine administration, transport of troops, generators and unit running.
• Training POL – specifically allocated for field training exercises, range practices and driver training.
• IS POL – earmarked for internal security duties or operational contingencies; not to be used for routine purposes without approval.
• All quantities subject to verification by POL NCO and monthly stock check by QM.</t>
  </si>
  <si>
    <t>REMAINING AUDIT OBJECTIONS</t>
  </si>
  <si>
    <t>No. of Objections</t>
  </si>
  <si>
    <t>Oldest Pending Since</t>
  </si>
  <si>
    <t>Amount Involved (PKR)</t>
  </si>
  <si>
    <t>Action Status</t>
  </si>
  <si>
    <t>Cat A (Serious / Financial)</t>
  </si>
  <si>
    <t>Mar 2024</t>
  </si>
  <si>
    <t>Reply submitted; awaiting DAO</t>
  </si>
  <si>
    <t>Loss of stores / write-off cases</t>
  </si>
  <si>
    <t>Cat B (Procedural / Documentation)</t>
  </si>
  <si>
    <t>Aug 2024</t>
  </si>
  <si>
    <t>Under process at unit</t>
  </si>
  <si>
    <t>Missing vouchers, late returns</t>
  </si>
  <si>
    <t>Cat C (Minor / Observation)</t>
  </si>
  <si>
    <t>Jan 2025</t>
  </si>
  <si>
    <t>Mostly cleared; 4 pending</t>
  </si>
  <si>
    <t>Minor discrepancies, formalities</t>
  </si>
  <si>
    <t>TOTAL REMAINING</t>
  </si>
  <si>
    <t>Note: Cat A objections require priority attention of CO / 2IC. Regular liaison with DAO / LAO is maintained. Target is to clear all Cat A &amp; B before next annual audit.</t>
  </si>
  <si>
    <t>UPCOMING MAJOR EVENTS / TRAINING CALENDAR</t>
  </si>
  <si>
    <t>Event / Activity</t>
  </si>
  <si>
    <t>Type</t>
  </si>
  <si>
    <t>Dates</t>
  </si>
  <si>
    <t>Location / Venue</t>
  </si>
  <si>
    <t>Key Participants</t>
  </si>
  <si>
    <t>Remarks / Prep Status</t>
  </si>
  <si>
    <t>Annual Range Classification (Rifle &amp; LMG)</t>
  </si>
  <si>
    <t>Training</t>
  </si>
  <si>
    <t>18-25 Aug 2026</t>
  </si>
  <si>
    <t>Unit Firing Range</t>
  </si>
  <si>
    <t>All coys + HQ</t>
  </si>
  <si>
    <t>Ammo indented; range cleared</t>
  </si>
  <si>
    <t>Company Level FTX (Day/Night)</t>
  </si>
  <si>
    <t>Field Ex</t>
  </si>
  <si>
    <t>02-06 Sep 2026</t>
  </si>
  <si>
    <t>Training Area Alpha</t>
  </si>
  <si>
    <t>A &amp; B Coy</t>
  </si>
  <si>
    <t>Orders issued; recce done</t>
  </si>
  <si>
    <t>Inter-Coy Sports Competition</t>
  </si>
  <si>
    <t>Sports</t>
  </si>
  <si>
    <t>12-15 Sep 2026</t>
  </si>
  <si>
    <t>Unit Sports Ground</t>
  </si>
  <si>
    <t>All ranks</t>
  </si>
  <si>
    <t>Fixtures under prep</t>
  </si>
  <si>
    <t>Study Period – Modern Battlefield &amp; Drones</t>
  </si>
  <si>
    <t>Study Period</t>
  </si>
  <si>
    <t>20 Sep 2026</t>
  </si>
  <si>
    <t>Unit Conference Hall</t>
  </si>
  <si>
    <t>Offrs + JCOs</t>
  </si>
  <si>
    <t>Presentation ready</t>
  </si>
  <si>
    <t>Monthly Maintenance Day (MD)</t>
  </si>
  <si>
    <t>MD</t>
  </si>
  <si>
    <t>28 Aug 2026</t>
  </si>
  <si>
    <t>Unit Lines / MT Park</t>
  </si>
  <si>
    <t>All depts</t>
  </si>
  <si>
    <t>Routine + vehicle focus</t>
  </si>
  <si>
    <t>Bde Cdr's Inspection (Administrative)</t>
  </si>
  <si>
    <t>Inspection</t>
  </si>
  <si>
    <t>05-06 Oct 2026</t>
  </si>
  <si>
    <t>Unit Area</t>
  </si>
  <si>
    <t>Whole unit</t>
  </si>
  <si>
    <t>Checklists issued; polish ongoing</t>
  </si>
  <si>
    <t>Battalion Level Field Exercise (Ex MECH STRIKE)</t>
  </si>
  <si>
    <t>18-25 Oct 2026</t>
  </si>
  <si>
    <t>Corps Training Area</t>
  </si>
  <si>
    <t>Complete Bn less rear</t>
  </si>
  <si>
    <t>Planning stage; TEs scheduled</t>
  </si>
  <si>
    <t>Retirees / ESM Interaction &amp; Welfare Day</t>
  </si>
  <si>
    <t>Welfare</t>
  </si>
  <si>
    <t>10 Nov 2026</t>
  </si>
  <si>
    <t>Unit Auditorium</t>
  </si>
  <si>
    <t>ESM + families</t>
  </si>
  <si>
    <t>Coordination with District</t>
  </si>
  <si>
    <t>Annual Technical Inspection (ATI) – Weapons &amp; Vehs</t>
  </si>
  <si>
    <t>15-20 Nov 2026</t>
  </si>
  <si>
    <t>Unit + EME</t>
  </si>
  <si>
    <t>QM, MTO, Coy CQs</t>
  </si>
  <si>
    <t>Advance notice received</t>
  </si>
  <si>
    <t>Promotion Cadre (Nk to Hav)</t>
  </si>
  <si>
    <t>01-15 Dec 2026</t>
  </si>
  <si>
    <t>Unit Training Wing</t>
  </si>
  <si>
    <t>Selected NCOs</t>
  </si>
  <si>
    <t>Nominal roll under finalization</t>
  </si>
  <si>
    <t>Note: Calendar is dynamic. Changes in higher HQ schedule may affect dates. All training events to be reflected in Weekly Training Programme. CO's approval required for any major change.</t>
  </si>
  <si>
    <t>PROMOTION TIMELINES &amp; VACANCY STATE – OTHER RANKS</t>
  </si>
  <si>
    <t>Rank</t>
  </si>
  <si>
    <t>Held Strength</t>
  </si>
  <si>
    <t>Course Qualified</t>
  </si>
  <si>
    <t>Cadre Qualified</t>
  </si>
  <si>
    <t>Eligible for Next Rank</t>
  </si>
  <si>
    <t>Vacancies in Next Rank</t>
  </si>
  <si>
    <t>Promotion / Priority</t>
  </si>
  <si>
    <t>Likely Board / Date</t>
  </si>
  <si>
    <t>Sepoy (Sep)</t>
  </si>
  <si>
    <t>High – seniority + courses</t>
  </si>
  <si>
    <t>Sep 2026</t>
  </si>
  <si>
    <t>Main feeder for L/Nk</t>
  </si>
  <si>
    <t>Lance Naik (L/Nk)</t>
  </si>
  <si>
    <t>Medium-High</t>
  </si>
  <si>
    <t>Oct 2026</t>
  </si>
  <si>
    <t>Good cadre pass rate</t>
  </si>
  <si>
    <t>Naik (Nk)</t>
  </si>
  <si>
    <t>Medium</t>
  </si>
  <si>
    <t>Nov 2026</t>
  </si>
  <si>
    <t>Vacancies limited</t>
  </si>
  <si>
    <t>Havildar (Hav)</t>
  </si>
  <si>
    <t>Selective</t>
  </si>
  <si>
    <t>Dec 2026 / Jan 2027</t>
  </si>
  <si>
    <t>JC course critical</t>
  </si>
  <si>
    <t>Naib Subedar (Nb Sub)</t>
  </si>
  <si>
    <t>High selectivity</t>
  </si>
  <si>
    <t>Q1 2027</t>
  </si>
  <si>
    <t>Limited vacancies</t>
  </si>
  <si>
    <t>Subedar (Sub)</t>
  </si>
  <si>
    <t>Very selective</t>
  </si>
  <si>
    <t>Mid 2027</t>
  </si>
  <si>
    <t>Senior most JCOs</t>
  </si>
  <si>
    <t>TOTAL OR (Approx)</t>
  </si>
  <si>
    <t>NOTES:
• Eligible = Course + Cadre qualified + minimum service + ACR criteria met (illustrative numbers).
• Vacancies are current estimated openings in the next higher rank within the unit / Corps promotion roster.
• Actual promotion is subject to Corps / Army Promotion Boards, vacancies, and inter-se seniority.
• Highlighted green = numbers ready for consideration; yellow = available slots.</t>
  </si>
  <si>
    <t>OFFICERS – KEY APPOINTMENTS &amp; ADDITIONAL TASKS</t>
  </si>
  <si>
    <t>Appointment</t>
  </si>
  <si>
    <t>Rank &amp; Name</t>
  </si>
  <si>
    <t>Army No.</t>
  </si>
  <si>
    <t>Duration in Appt</t>
  </si>
  <si>
    <t>Additional Tasks / Responsibilities</t>
  </si>
  <si>
    <t>Contact (Ext)</t>
  </si>
  <si>
    <t>Commanding Officer</t>
  </si>
  <si>
    <t>Lt Col Ahmed Raza Khan</t>
  </si>
  <si>
    <t>PA-28456</t>
  </si>
  <si>
    <t>1 yr 4 mo</t>
  </si>
  <si>
    <t>Overall comd, training &amp; discipline</t>
  </si>
  <si>
    <t>201</t>
  </si>
  <si>
    <t>CO</t>
  </si>
  <si>
    <t>Second-in-Command (2IC)</t>
  </si>
  <si>
    <t>Maj Muhammad Bilal Siddiqui</t>
  </si>
  <si>
    <t>PA-31201</t>
  </si>
  <si>
    <t>11 mo</t>
  </si>
  <si>
    <t>Admin, welfare, audit objections, leave</t>
  </si>
  <si>
    <t>202</t>
  </si>
  <si>
    <t>Acts as CO in absence</t>
  </si>
  <si>
    <t>Adjutant</t>
  </si>
  <si>
    <t>Capt Usman Ghani</t>
  </si>
  <si>
    <t>PA-34567</t>
  </si>
  <si>
    <t>8 mo</t>
  </si>
  <si>
    <t>Discipline, documentation, courts, MS</t>
  </si>
  <si>
    <t>203</t>
  </si>
  <si>
    <t>Also Security Offr</t>
  </si>
  <si>
    <t>Quartermaster (QM)</t>
  </si>
  <si>
    <t>Capt Fahad Ali Qureshi</t>
  </si>
  <si>
    <t>PA-35102</t>
  </si>
  <si>
    <t>1 yr 1 mo</t>
  </si>
  <si>
    <t>Clothing, rations, FOL, stores, audit</t>
  </si>
  <si>
    <t>204</t>
  </si>
  <si>
    <t>QM</t>
  </si>
  <si>
    <t>MTO (Mechanical Transport Offr)</t>
  </si>
  <si>
    <t>Capt Imran Shah</t>
  </si>
  <si>
    <t>PA-34890</t>
  </si>
  <si>
    <t>7 mo</t>
  </si>
  <si>
    <t>All MT, POL, recovery, driver trg</t>
  </si>
  <si>
    <t>205</t>
  </si>
  <si>
    <t>MT Park in-charge</t>
  </si>
  <si>
    <t>Coy Comd – A Coy</t>
  </si>
  <si>
    <t>Maj Hassan Raza</t>
  </si>
  <si>
    <t>PA-32110</t>
  </si>
  <si>
    <t>1 yr 2 mo</t>
  </si>
  <si>
    <t>A Coy training &amp; admin; Range Offr</t>
  </si>
  <si>
    <t>211</t>
  </si>
  <si>
    <t>Senior Coy Comd</t>
  </si>
  <si>
    <t>Coy Comd – B Coy</t>
  </si>
  <si>
    <t>Capt Zain Ul Abideen</t>
  </si>
  <si>
    <t>PA-35678</t>
  </si>
  <si>
    <t>9 mo</t>
  </si>
  <si>
    <t>B Coy; Sports Offr</t>
  </si>
  <si>
    <t>212</t>
  </si>
  <si>
    <t>Coy Comd – C Coy</t>
  </si>
  <si>
    <t>Capt Omar Farooq</t>
  </si>
  <si>
    <t>PA-36201</t>
  </si>
  <si>
    <t>6 mo</t>
  </si>
  <si>
    <t>C Coy; Education Offr</t>
  </si>
  <si>
    <t>213</t>
  </si>
  <si>
    <t>Coy Comd – D Coy (Sp)</t>
  </si>
  <si>
    <t>Capt Saadullah Khan</t>
  </si>
  <si>
    <t>PA-35900</t>
  </si>
  <si>
    <t>10 mo</t>
  </si>
  <si>
    <t>Sp Coy (Mortars/AT); Mess Secy</t>
  </si>
  <si>
    <t>214</t>
  </si>
  <si>
    <t>Sp weapons</t>
  </si>
  <si>
    <t>IS / Intelligence Offr</t>
  </si>
  <si>
    <t>Capt Ali Haider</t>
  </si>
  <si>
    <t>PA-36789</t>
  </si>
  <si>
    <t>5 mo</t>
  </si>
  <si>
    <t>Int, security, map, briefing</t>
  </si>
  <si>
    <t>206</t>
  </si>
  <si>
    <t>Also Media / PR</t>
  </si>
  <si>
    <t>Training Officer</t>
  </si>
  <si>
    <t>Capt Naveed Akhtar</t>
  </si>
  <si>
    <t>PA-35555</t>
  </si>
  <si>
    <t>4 mo</t>
  </si>
  <si>
    <t>Weekly trg programme, cadres, courses</t>
  </si>
  <si>
    <t>207</t>
  </si>
  <si>
    <t>Under 2IC</t>
  </si>
  <si>
    <t>Note: Durations are approximate from date of assumption of appointment. Additional tasks are current and may be rotated. All officers are also responsible for the professional development of their subordinates.</t>
  </si>
  <si>
    <t>KEY APPOINTMENTS – JCOs &amp; NCOs</t>
  </si>
  <si>
    <t>Company / Dept</t>
  </si>
  <si>
    <t>Duration</t>
  </si>
  <si>
    <t>Additional Responsibility</t>
  </si>
  <si>
    <t>BHM (Bn Havildar Major)</t>
  </si>
  <si>
    <t>Hav Maj Ghulam Mustafa</t>
  </si>
  <si>
    <t>1234567</t>
  </si>
  <si>
    <t>Bn HQ</t>
  </si>
  <si>
    <t>1 yr 6 mo</t>
  </si>
  <si>
    <t>Parade, discipline, NCOs</t>
  </si>
  <si>
    <t>Senior most Hav</t>
  </si>
  <si>
    <t>CHMS (Coy Hav Maj – HQ)</t>
  </si>
  <si>
    <t>Hav Maj Abdul Sattar</t>
  </si>
  <si>
    <t>1345678</t>
  </si>
  <si>
    <t>HQ Coy</t>
  </si>
  <si>
    <t>HQ Coy admin</t>
  </si>
  <si>
    <t>JA (Jemadar Adjutant)</t>
  </si>
  <si>
    <t>Nb Sub Muhammad Ashraf</t>
  </si>
  <si>
    <t>1456789</t>
  </si>
  <si>
    <t>Assists Adjt; documentation</t>
  </si>
  <si>
    <t>JCO</t>
  </si>
  <si>
    <t>MT JCO</t>
  </si>
  <si>
    <t>Nb Sub Tariq Mehmood</t>
  </si>
  <si>
    <t>1567890</t>
  </si>
  <si>
    <t>MT Sec</t>
  </si>
  <si>
    <t>MT Park, recovery, POL coordination</t>
  </si>
  <si>
    <t>MT Hav</t>
  </si>
  <si>
    <t>Hav Khalid Hussain</t>
  </si>
  <si>
    <t>1678901</t>
  </si>
  <si>
    <t>1 yr</t>
  </si>
  <si>
    <t>Daily MT parade, docs</t>
  </si>
  <si>
    <t>RP Hav (Regimental Police)</t>
  </si>
  <si>
    <t>Hav Imtiaz Ahmed</t>
  </si>
  <si>
    <t>1789012</t>
  </si>
  <si>
    <t>Gate, security, RP staff</t>
  </si>
  <si>
    <t>Mess Hav</t>
  </si>
  <si>
    <t>Hav Nasir Ali</t>
  </si>
  <si>
    <t>1890123</t>
  </si>
  <si>
    <t>Offrs Mess</t>
  </si>
  <si>
    <t>1 yr 3 mo</t>
  </si>
  <si>
    <t>Mess staff, inventory</t>
  </si>
  <si>
    <t>Adm NCO</t>
  </si>
  <si>
    <t>Nk Shahid Iqbal</t>
  </si>
  <si>
    <t>1901234</t>
  </si>
  <si>
    <t>Leave, ration strength, returns</t>
  </si>
  <si>
    <t>POL NCO</t>
  </si>
  <si>
    <t>Nk Muhammad Javed</t>
  </si>
  <si>
    <t>2012345</t>
  </si>
  <si>
    <t>MT / QM</t>
  </si>
  <si>
    <t>POL accounting, issue</t>
  </si>
  <si>
    <t>Ammo NCO</t>
  </si>
  <si>
    <t>Nk Ghulam Rasool</t>
  </si>
  <si>
    <t>2123456</t>
  </si>
  <si>
    <t>Ammo dump, ledgers, issues</t>
  </si>
  <si>
    <t>CQ – A Coy</t>
  </si>
  <si>
    <t>Hav Muhammad Rafique</t>
  </si>
  <si>
    <t>2234567</t>
  </si>
  <si>
    <t>A Coy</t>
  </si>
  <si>
    <t>Coy stores, weapons, clothing</t>
  </si>
  <si>
    <t>CQ – B Coy</t>
  </si>
  <si>
    <t>Hav Abdul Qayyum</t>
  </si>
  <si>
    <t>2345678</t>
  </si>
  <si>
    <t>B Coy</t>
  </si>
  <si>
    <t>CQ – C Coy</t>
  </si>
  <si>
    <t>Hav Pervaiz Akhtar</t>
  </si>
  <si>
    <t>2456789</t>
  </si>
  <si>
    <t>C Coy</t>
  </si>
  <si>
    <t>CQ – D / Sp Coy</t>
  </si>
  <si>
    <t>Hav Muhammad Aslam</t>
  </si>
  <si>
    <t>2567890</t>
  </si>
  <si>
    <t>D Coy</t>
  </si>
  <si>
    <t>Sp weapons &amp; ammo</t>
  </si>
  <si>
    <t>Kote NCO – A Coy</t>
  </si>
  <si>
    <t>L/Nk Muhammad Yousaf</t>
  </si>
  <si>
    <t>2678901</t>
  </si>
  <si>
    <t>Armoury daily check</t>
  </si>
  <si>
    <t>Kote NCO – B Coy</t>
  </si>
  <si>
    <t>L/Nk Sajid Mehmood</t>
  </si>
  <si>
    <t>2789012</t>
  </si>
  <si>
    <t>Kote NCO – C Coy</t>
  </si>
  <si>
    <t>L/Nk Zahid Hussain</t>
  </si>
  <si>
    <t>2890123</t>
  </si>
  <si>
    <t>Kote NCO – D Coy</t>
  </si>
  <si>
    <t>Nk Muhammad Nawaz</t>
  </si>
  <si>
    <t>2901234</t>
  </si>
  <si>
    <t>Armoury + Sp weapons</t>
  </si>
  <si>
    <t>SJCO – A Coy (Subedar)</t>
  </si>
  <si>
    <t>Subedar Muhammad Hanif</t>
  </si>
  <si>
    <t>3012345</t>
  </si>
  <si>
    <t>1 yr 8 mo</t>
  </si>
  <si>
    <t>Coy 2IC / senior JCO</t>
  </si>
  <si>
    <t>Senior JCO</t>
  </si>
  <si>
    <t>SJCO – B Coy</t>
  </si>
  <si>
    <t>Subedar Abdul Majid</t>
  </si>
  <si>
    <t>3123456</t>
  </si>
  <si>
    <t>SJCO – C Coy</t>
  </si>
  <si>
    <t>Nb Sub (offg) Riaz Ahmed</t>
  </si>
  <si>
    <t>3234567</t>
  </si>
  <si>
    <t>Acting SJCO</t>
  </si>
  <si>
    <t>Nb Sub officiating</t>
  </si>
  <si>
    <t>SJCO – D / Sp Coy</t>
  </si>
  <si>
    <t>Subedar Ghulam Farid</t>
  </si>
  <si>
    <t>3345678</t>
  </si>
  <si>
    <t>2 yr</t>
  </si>
  <si>
    <t>Sp Coy senior JCO</t>
  </si>
  <si>
    <t>Longest serving</t>
  </si>
  <si>
    <t>Note: BHM, JA, MT JCO, CQs and SJCOs are critical for unit functioning. Regular rotation and succession planning is maintained. All Kote NCOs report daily weapon state to Coy CQs and QM.</t>
  </si>
  <si>
    <t>INDIVIDUAL SOLDIERS – BASIC DATA (ILLUSTRATIVE SAMPLE – 30 PERSONNEL)</t>
  </si>
  <si>
    <t>XX Mech Inf Bn  |  Sample only – not complete nominal roll  |  As on 13 Aug 2026</t>
  </si>
  <si>
    <t>Name</t>
  </si>
  <si>
    <t>Coy</t>
  </si>
  <si>
    <t>Residential Address (Distt)</t>
  </si>
  <si>
    <t>Civil Education</t>
  </si>
  <si>
    <t>Mil Courses &amp; Grades</t>
  </si>
  <si>
    <t>Service (Yrs)</t>
  </si>
  <si>
    <t>Discipline / Red Ink</t>
  </si>
  <si>
    <t>Past Employment</t>
  </si>
  <si>
    <t>1877572</t>
  </si>
  <si>
    <t>Sep</t>
  </si>
  <si>
    <t>Omar Khan</t>
  </si>
  <si>
    <t>Hyderabad</t>
  </si>
  <si>
    <t>FA / FSc</t>
  </si>
  <si>
    <t>BC (B), Signaller (A)</t>
  </si>
  <si>
    <t>Nil</t>
  </si>
  <si>
    <t>1542417</t>
  </si>
  <si>
    <t>Usman Baig</t>
  </si>
  <si>
    <t>Karachi</t>
  </si>
  <si>
    <t>Matric</t>
  </si>
  <si>
    <t>BC (B+)</t>
  </si>
  <si>
    <t>1 x Minor (2023)</t>
  </si>
  <si>
    <t>Nil (Fresh)</t>
  </si>
  <si>
    <t>Under observation</t>
  </si>
  <si>
    <t>1781453</t>
  </si>
  <si>
    <t>Naveed Kazmi</t>
  </si>
  <si>
    <t>Abbottabad</t>
  </si>
  <si>
    <t>JC (A), AT (B)</t>
  </si>
  <si>
    <t>Warning (2024)</t>
  </si>
  <si>
    <t>1543143</t>
  </si>
  <si>
    <t>Imran Kazmi</t>
  </si>
  <si>
    <t>Sialkot</t>
  </si>
  <si>
    <t>Shop Assistant</t>
  </si>
  <si>
    <t>1201414</t>
  </si>
  <si>
    <t>Usman Rajput</t>
  </si>
  <si>
    <t>Sargodha</t>
  </si>
  <si>
    <t>Middle</t>
  </si>
  <si>
    <t>JC (B), Cadre Nk (A)</t>
  </si>
  <si>
    <t>Mechanic</t>
  </si>
  <si>
    <t>1496922</t>
  </si>
  <si>
    <t>Rasool Hussain</t>
  </si>
  <si>
    <t>Larkana</t>
  </si>
  <si>
    <t>BA / BSc</t>
  </si>
  <si>
    <t>JC (B+), Cadre Hav (B)</t>
  </si>
  <si>
    <t>Security Guard</t>
  </si>
  <si>
    <t>1172933</t>
  </si>
  <si>
    <t>BC (A), Driver (B)</t>
  </si>
  <si>
    <t>1575435</t>
  </si>
  <si>
    <t>Farid Sheikh</t>
  </si>
  <si>
    <t>Multan</t>
  </si>
  <si>
    <t>BC (A), LMG (B)</t>
  </si>
  <si>
    <t>1864544</t>
  </si>
  <si>
    <t>Imran Mirza</t>
  </si>
  <si>
    <t>Intermediate</t>
  </si>
  <si>
    <t>BC (B), Mortar (B+)</t>
  </si>
  <si>
    <t>1440035</t>
  </si>
  <si>
    <t>Javed Gillani</t>
  </si>
  <si>
    <t>Farmer</t>
  </si>
  <si>
    <t>1787277</t>
  </si>
  <si>
    <t>Nawaz Malik</t>
  </si>
  <si>
    <t>Mardan</t>
  </si>
  <si>
    <t>Matric + Diploma</t>
  </si>
  <si>
    <t>1883300</t>
  </si>
  <si>
    <t>Rasool Sheikh</t>
  </si>
  <si>
    <t>1892495</t>
  </si>
  <si>
    <t>L/Nk</t>
  </si>
  <si>
    <t>Abdul Ali</t>
  </si>
  <si>
    <t>Peshawar</t>
  </si>
  <si>
    <t>Electrician</t>
  </si>
  <si>
    <t>1500156</t>
  </si>
  <si>
    <t>Hussain Rajput</t>
  </si>
  <si>
    <t>Kohat</t>
  </si>
  <si>
    <t>1663054</t>
  </si>
  <si>
    <t>Omar Gillani</t>
  </si>
  <si>
    <t>Bahawalpur</t>
  </si>
  <si>
    <t>1898975</t>
  </si>
  <si>
    <t>Aslam Chaudhry</t>
  </si>
  <si>
    <t>Sukkur</t>
  </si>
  <si>
    <t>1492077</t>
  </si>
  <si>
    <t>Naveed Shah</t>
  </si>
  <si>
    <t>BC (B+), JC (B)</t>
  </si>
  <si>
    <t>1972064</t>
  </si>
  <si>
    <t>Omar Awan</t>
  </si>
  <si>
    <t>1897549</t>
  </si>
  <si>
    <t>Nk</t>
  </si>
  <si>
    <t>Quetta</t>
  </si>
  <si>
    <t>Driver (Civil)</t>
  </si>
  <si>
    <t>1736059</t>
  </si>
  <si>
    <t>Faisalabad</t>
  </si>
  <si>
    <t>BC (B), RP (A)</t>
  </si>
  <si>
    <t>Labour</t>
  </si>
  <si>
    <t>1781446</t>
  </si>
  <si>
    <t>Tariq Gillani</t>
  </si>
  <si>
    <t>1716886</t>
  </si>
  <si>
    <t>Hanif Khan</t>
  </si>
  <si>
    <t>1132938</t>
  </si>
  <si>
    <t>Javed Ali</t>
  </si>
  <si>
    <t>Rawalpindi</t>
  </si>
  <si>
    <t>1858490</t>
  </si>
  <si>
    <t>Hav</t>
  </si>
  <si>
    <t>Rasool Shah</t>
  </si>
  <si>
    <t>Mirpurkhas</t>
  </si>
  <si>
    <t>1201639</t>
  </si>
  <si>
    <t>Naveed Hussain</t>
  </si>
  <si>
    <t>1522179</t>
  </si>
  <si>
    <t>Bilal Ahmed</t>
  </si>
  <si>
    <t>1392075</t>
  </si>
  <si>
    <t>Imtiaz Raza</t>
  </si>
  <si>
    <t>1783823</t>
  </si>
  <si>
    <t>Nb Sub</t>
  </si>
  <si>
    <t>1161483</t>
  </si>
  <si>
    <t>Shahid Rajput</t>
  </si>
  <si>
    <t>1830429</t>
  </si>
  <si>
    <t>Sub</t>
  </si>
  <si>
    <t>Sajid Jutt</t>
  </si>
  <si>
    <t>Dera Ismail Khan</t>
  </si>
  <si>
    <t>Clerk (Private)</t>
  </si>
  <si>
    <t>DISCLAIMER: This is an ILLUSTRATIVE SAMPLE of 30 personnel only for demonstration of format and fields. It does not represent the actual nominal roll of any unit. Army numbers, names and personal data are fictitious. For a live unit state, the complete nominal roll would be maintained separately under Adjt / MS branch with appropriate security classification.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</si>
</sst>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Calibri"/>
      <family val="2"/>
      <charset val="1"/>
    </font>
    <font>
      <b/>
      <sz val="16"/>
      <color rgb="FFFFFFFF"/>
      <name val="Arial"/>
      <charset val="1"/>
    </font>
    <font>
      <i/>
      <sz val="9"/>
      <color rgb="FFFFFFFF"/>
      <name val="Arial"/>
      <charset val="1"/>
    </font>
    <font>
      <b/>
      <sz val="11"/>
      <color rgb="FFFFFFFF"/>
      <name val="Arial"/>
      <charset val="1"/>
    </font>
    <font>
      <b/>
      <sz val="10"/>
      <name val="Arial"/>
      <charset val="1"/>
    </font>
    <font>
      <b/>
      <sz val="11"/>
      <name val="Arial"/>
      <charset val="1"/>
    </font>
    <font>
      <b/>
      <sz val="12"/>
      <color rgb="FF145A32"/>
      <name val="Arial"/>
      <charset val="1"/>
    </font>
    <font>
      <i/>
      <sz val="8"/>
      <color rgb="FF666666"/>
      <name val="Arial"/>
      <charset val="1"/>
    </font>
    <font>
      <sz val="10"/>
      <name val="Arial"/>
      <charset val="1"/>
    </font>
    <font>
      <sz val="9"/>
      <name val="Arial"/>
      <charset val="1"/>
    </font>
    <font>
      <i/>
      <sz val="9"/>
      <name val="Arial"/>
      <charset val="1"/>
    </font>
  </fonts>
  <fills count="13">
    <fill>
      <patternFill patternType="none"/>
    </fill>
    <fill>
      <patternFill patternType="gray125"/>
    </fill>
    <fill>
      <patternFill patternType="solid">
        <fgColor rgb="FF0B5345"/>
        <bgColor rgb="FF145A32"/>
      </patternFill>
    </fill>
    <fill>
      <patternFill patternType="solid">
        <fgColor rgb="FF1A5276"/>
        <bgColor rgb="FF1B4F72"/>
      </patternFill>
    </fill>
    <fill>
      <patternFill patternType="solid">
        <fgColor rgb="FF1E8449"/>
        <bgColor rgb="FF008080"/>
      </patternFill>
    </fill>
    <fill>
      <patternFill patternType="solid">
        <fgColor rgb="FF1B4F72"/>
        <bgColor rgb="FF1A5276"/>
      </patternFill>
    </fill>
    <fill>
      <patternFill patternType="solid">
        <fgColor rgb="FFFAD7A0"/>
        <bgColor rgb="FFFDEBD0"/>
      </patternFill>
    </fill>
    <fill>
      <patternFill patternType="solid">
        <fgColor rgb="FFD6EAF8"/>
        <bgColor rgb="FFD5F5E3"/>
      </patternFill>
    </fill>
    <fill>
      <patternFill patternType="solid">
        <fgColor rgb="FFFCF3CF"/>
        <bgColor rgb="FFFDEBD0"/>
      </patternFill>
    </fill>
    <fill>
      <patternFill patternType="solid">
        <fgColor rgb="FFD5F5E3"/>
        <bgColor rgb="FFD6EAF8"/>
      </patternFill>
    </fill>
    <fill>
      <patternFill patternType="solid">
        <fgColor rgb="FFF5B7B1"/>
        <bgColor rgb="FFFAD7A0"/>
      </patternFill>
    </fill>
    <fill>
      <patternFill patternType="solid">
        <fgColor rgb="FFF5B041"/>
        <bgColor rgb="FFFFCC00"/>
      </patternFill>
    </fill>
    <fill>
      <patternFill patternType="solid">
        <fgColor rgb="FFFDEBD0"/>
        <bgColor rgb="FFFCF3CF"/>
      </patternFill>
    </fill>
  </fills>
  <borders count="3">
    <border>
      <left/>
      <right/>
      <top/>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s>
  <cellStyleXfs count="1">
    <xf numFmtId="0" fontId="0" fillId="0" borderId="0"/>
  </cellStyleXfs>
  <cellXfs count="55">
    <xf numFmtId="0" fontId="0" fillId="0" borderId="0" xfId="0"/>
    <xf numFmtId="0" fontId="7" fillId="0" borderId="0" xfId="0" applyFont="1" applyAlignment="1">
      <alignment wrapText="1"/>
    </xf>
    <xf numFmtId="0" fontId="10" fillId="0" borderId="0" xfId="0" applyFont="1" applyAlignment="1">
      <alignment wrapText="1"/>
    </xf>
    <xf numFmtId="0" fontId="10" fillId="0" borderId="0" xfId="0" applyFont="1"/>
    <xf numFmtId="0" fontId="9" fillId="7" borderId="0" xfId="0" applyFont="1" applyFill="1" applyAlignment="1">
      <alignment vertical="top" wrapText="1"/>
    </xf>
    <xf numFmtId="0" fontId="9" fillId="0" borderId="0" xfId="0" applyFont="1" applyAlignment="1">
      <alignment vertical="top" wrapText="1"/>
    </xf>
    <xf numFmtId="0" fontId="7" fillId="0" borderId="0" xfId="0" applyFont="1"/>
    <xf numFmtId="0" fontId="3" fillId="4" borderId="0" xfId="0" applyFont="1" applyFill="1" applyAlignment="1">
      <alignment horizontal="center" vertical="center" wrapText="1"/>
    </xf>
    <xf numFmtId="0" fontId="2" fillId="3" borderId="0" xfId="0" applyFont="1" applyFill="1" applyAlignment="1">
      <alignment horizontal="center" vertical="center" wrapText="1"/>
    </xf>
    <xf numFmtId="0" fontId="1" fillId="2" borderId="0" xfId="0" applyFont="1" applyFill="1" applyAlignment="1">
      <alignment horizontal="center" vertical="center" wrapText="1"/>
    </xf>
    <xf numFmtId="0" fontId="3" fillId="5" borderId="1" xfId="0" applyFont="1" applyFill="1" applyBorder="1" applyAlignment="1">
      <alignment horizontal="center" vertical="center" wrapText="1"/>
    </xf>
    <xf numFmtId="0" fontId="4" fillId="0" borderId="1" xfId="0" applyFont="1" applyBorder="1" applyAlignment="1">
      <alignment horizontal="left" vertical="center" wrapText="1"/>
    </xf>
    <xf numFmtId="0" fontId="0" fillId="0" borderId="1" xfId="0" applyBorder="1" applyAlignment="1">
      <alignment horizontal="center" vertical="center" wrapText="1"/>
    </xf>
    <xf numFmtId="164" fontId="0" fillId="0" borderId="1" xfId="0" applyNumberFormat="1" applyBorder="1" applyAlignment="1">
      <alignment horizontal="center" vertical="center" wrapText="1"/>
    </xf>
    <xf numFmtId="9" fontId="0" fillId="0" borderId="1" xfId="0" applyNumberFormat="1" applyBorder="1" applyAlignment="1">
      <alignment horizontal="center" vertical="center" wrapText="1"/>
    </xf>
    <xf numFmtId="0" fontId="5" fillId="6" borderId="2" xfId="0" applyFont="1" applyFill="1" applyBorder="1"/>
    <xf numFmtId="0" fontId="0" fillId="6" borderId="2" xfId="0" applyFill="1" applyBorder="1"/>
    <xf numFmtId="164" fontId="6" fillId="6" borderId="2" xfId="0" applyNumberFormat="1" applyFont="1" applyFill="1" applyBorder="1"/>
    <xf numFmtId="0" fontId="4" fillId="7" borderId="0" xfId="0" applyFont="1" applyFill="1"/>
    <xf numFmtId="0" fontId="0" fillId="7" borderId="0" xfId="0" applyFill="1"/>
    <xf numFmtId="0" fontId="4" fillId="8" borderId="0" xfId="0" applyFont="1" applyFill="1"/>
    <xf numFmtId="0" fontId="0" fillId="8" borderId="0" xfId="0" applyFill="1"/>
    <xf numFmtId="164" fontId="0" fillId="0" borderId="0" xfId="0" applyNumberFormat="1"/>
    <xf numFmtId="0" fontId="8" fillId="0" borderId="1" xfId="0" applyFont="1" applyBorder="1" applyAlignment="1">
      <alignment horizontal="left" vertical="center" wrapText="1"/>
    </xf>
    <xf numFmtId="0" fontId="4" fillId="9" borderId="1" xfId="0" applyFont="1" applyFill="1" applyBorder="1" applyAlignment="1">
      <alignment horizontal="left" vertical="center" wrapText="1"/>
    </xf>
    <xf numFmtId="0" fontId="4" fillId="9" borderId="1" xfId="0" applyFont="1" applyFill="1" applyBorder="1" applyAlignment="1">
      <alignment horizontal="center" vertical="center" wrapText="1"/>
    </xf>
    <xf numFmtId="164" fontId="4" fillId="9" borderId="1" xfId="0" applyNumberFormat="1" applyFont="1" applyFill="1" applyBorder="1" applyAlignment="1">
      <alignment horizontal="center" vertical="center" wrapText="1"/>
    </xf>
    <xf numFmtId="0" fontId="4" fillId="6" borderId="2" xfId="0" applyFont="1" applyFill="1" applyBorder="1"/>
    <xf numFmtId="0" fontId="0" fillId="0" borderId="2" xfId="0" applyBorder="1"/>
    <xf numFmtId="0" fontId="4" fillId="10" borderId="1" xfId="0" applyFont="1" applyFill="1" applyBorder="1"/>
    <xf numFmtId="0" fontId="0" fillId="10" borderId="1" xfId="0" applyFill="1" applyBorder="1"/>
    <xf numFmtId="164" fontId="0" fillId="10" borderId="1" xfId="0" applyNumberFormat="1" applyFill="1" applyBorder="1"/>
    <xf numFmtId="0" fontId="0" fillId="0" borderId="1" xfId="0" applyBorder="1" applyAlignment="1">
      <alignment horizontal="left" vertical="center" wrapText="1"/>
    </xf>
    <xf numFmtId="164" fontId="4" fillId="6" borderId="2" xfId="0" applyNumberFormat="1" applyFont="1" applyFill="1" applyBorder="1"/>
    <xf numFmtId="0" fontId="4" fillId="11" borderId="2" xfId="0" applyFont="1" applyFill="1" applyBorder="1"/>
    <xf numFmtId="164" fontId="4" fillId="11" borderId="2" xfId="0" applyNumberFormat="1" applyFont="1" applyFill="1" applyBorder="1"/>
    <xf numFmtId="3" fontId="0" fillId="0" borderId="1" xfId="0" applyNumberFormat="1" applyBorder="1" applyAlignment="1">
      <alignment horizontal="center" vertical="center" wrapText="1"/>
    </xf>
    <xf numFmtId="3" fontId="4" fillId="6" borderId="2" xfId="0" applyNumberFormat="1" applyFont="1" applyFill="1" applyBorder="1"/>
    <xf numFmtId="0" fontId="0" fillId="10" borderId="1" xfId="0" applyFill="1" applyBorder="1" applyAlignment="1">
      <alignment horizontal="center" vertical="center" wrapText="1"/>
    </xf>
    <xf numFmtId="0" fontId="0" fillId="10" borderId="1" xfId="0" applyFill="1" applyBorder="1" applyAlignment="1">
      <alignment horizontal="left" vertical="center" wrapText="1"/>
    </xf>
    <xf numFmtId="3" fontId="0" fillId="10" borderId="1" xfId="0" applyNumberFormat="1" applyFill="1" applyBorder="1" applyAlignment="1">
      <alignment horizontal="center" vertical="center" wrapText="1"/>
    </xf>
    <xf numFmtId="0" fontId="0" fillId="8" borderId="1" xfId="0" applyFill="1" applyBorder="1" applyAlignment="1">
      <alignment horizontal="center" vertical="center" wrapText="1"/>
    </xf>
    <xf numFmtId="0" fontId="0" fillId="8" borderId="1" xfId="0" applyFill="1" applyBorder="1" applyAlignment="1">
      <alignment horizontal="left" vertical="center" wrapText="1"/>
    </xf>
    <xf numFmtId="3" fontId="0" fillId="8"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0" fontId="0" fillId="9" borderId="1" xfId="0" applyFill="1" applyBorder="1" applyAlignment="1">
      <alignment horizontal="left" vertical="center" wrapText="1"/>
    </xf>
    <xf numFmtId="3" fontId="0" fillId="9" borderId="1" xfId="0" applyNumberFormat="1" applyFill="1" applyBorder="1" applyAlignment="1">
      <alignment horizontal="center" vertical="center" wrapText="1"/>
    </xf>
    <xf numFmtId="0" fontId="0" fillId="12" borderId="1" xfId="0" applyFill="1" applyBorder="1" applyAlignment="1">
      <alignment horizontal="center" vertical="center" wrapText="1"/>
    </xf>
    <xf numFmtId="0" fontId="0" fillId="12" borderId="1" xfId="0" applyFill="1" applyBorder="1" applyAlignment="1">
      <alignment horizontal="left" vertical="center" wrapText="1"/>
    </xf>
    <xf numFmtId="0" fontId="0" fillId="7" borderId="1" xfId="0" applyFill="1" applyBorder="1" applyAlignment="1">
      <alignment horizontal="center" vertical="center" wrapText="1"/>
    </xf>
    <xf numFmtId="0" fontId="4" fillId="7" borderId="1" xfId="0" applyFont="1" applyFill="1" applyBorder="1" applyAlignment="1">
      <alignment horizontal="left" vertical="center" wrapText="1"/>
    </xf>
    <xf numFmtId="0" fontId="0" fillId="7" borderId="1" xfId="0" applyFill="1" applyBorder="1" applyAlignment="1">
      <alignment horizontal="left" vertical="center" wrapText="1"/>
    </xf>
    <xf numFmtId="0" fontId="9" fillId="0" borderId="1" xfId="0" applyFont="1" applyBorder="1" applyAlignment="1">
      <alignment horizontal="center" vertical="center" wrapText="1"/>
    </xf>
    <xf numFmtId="0" fontId="9" fillId="0" borderId="1" xfId="0" applyFont="1" applyBorder="1" applyAlignment="1">
      <alignment horizontal="left" vertical="center" wrapText="1"/>
    </xf>
    <xf numFmtId="0" fontId="9" fillId="8"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45A32"/>
      <rgbColor rgb="FF000080"/>
      <rgbColor rgb="FF808000"/>
      <rgbColor rgb="FF800080"/>
      <rgbColor rgb="FF008080"/>
      <rgbColor rgb="FFC0C0C0"/>
      <rgbColor rgb="FF808080"/>
      <rgbColor rgb="FF9999FF"/>
      <rgbColor rgb="FF993366"/>
      <rgbColor rgb="FFFCF3CF"/>
      <rgbColor rgb="FFD6EAF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5F5E3"/>
      <rgbColor rgb="FFFDEBD0"/>
      <rgbColor rgb="FF99CCFF"/>
      <rgbColor rgb="FFF5B7B1"/>
      <rgbColor rgb="FFCC99FF"/>
      <rgbColor rgb="FFFAD7A0"/>
      <rgbColor rgb="FF3366FF"/>
      <rgbColor rgb="FF33CCCC"/>
      <rgbColor rgb="FF99CC00"/>
      <rgbColor rgb="FFFFCC00"/>
      <rgbColor rgb="FFF5B041"/>
      <rgbColor rgb="FFFF6600"/>
      <rgbColor rgb="FF666666"/>
      <rgbColor rgb="FF969696"/>
      <rgbColor rgb="FF1B4F72"/>
      <rgbColor rgb="FF1E8449"/>
      <rgbColor rgb="FF003300"/>
      <rgbColor rgb="FF333300"/>
      <rgbColor rgb="FF993300"/>
      <rgbColor rgb="FF993366"/>
      <rgbColor rgb="FF1A5276"/>
      <rgbColor rgb="FF0B5345"/>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33"/>
  <sheetViews>
    <sheetView zoomScaleNormal="100" workbookViewId="0">
      <pane ySplit="4" topLeftCell="A5" activePane="bottomLeft" state="frozen"/>
      <selection pane="bottomLeft" sqref="A1:L1"/>
    </sheetView>
  </sheetViews>
  <sheetFormatPr defaultColWidth="8.6640625" defaultRowHeight="14.4" x14ac:dyDescent="0.3"/>
  <cols>
    <col min="1" max="1" width="32" customWidth="1"/>
    <col min="2" max="2" width="14" customWidth="1"/>
    <col min="3" max="3" width="12" customWidth="1"/>
    <col min="4" max="4" width="14" customWidth="1"/>
    <col min="5" max="5" width="38" customWidth="1"/>
    <col min="6" max="6" width="14" customWidth="1"/>
    <col min="7" max="7" width="12" customWidth="1"/>
  </cols>
  <sheetData>
    <row r="1" spans="1:12" ht="27.75" customHeight="1" x14ac:dyDescent="0.3">
      <c r="A1" s="9" t="s">
        <v>0</v>
      </c>
      <c r="B1" s="9"/>
      <c r="C1" s="9"/>
      <c r="D1" s="9"/>
      <c r="E1" s="9"/>
      <c r="F1" s="9"/>
      <c r="G1" s="9"/>
      <c r="H1" s="9"/>
      <c r="I1" s="9"/>
      <c r="J1" s="9"/>
      <c r="K1" s="9"/>
      <c r="L1" s="9"/>
    </row>
    <row r="2" spans="1:12" ht="15" customHeight="1" x14ac:dyDescent="0.3">
      <c r="A2" s="8" t="s">
        <v>1</v>
      </c>
      <c r="B2" s="8"/>
      <c r="C2" s="8"/>
      <c r="D2" s="8"/>
      <c r="E2" s="8"/>
      <c r="F2" s="8"/>
      <c r="G2" s="8"/>
      <c r="H2" s="8"/>
      <c r="I2" s="8"/>
      <c r="J2" s="8"/>
      <c r="K2" s="8"/>
      <c r="L2" s="8"/>
    </row>
    <row r="4" spans="1:12" ht="15" customHeight="1" x14ac:dyDescent="0.3">
      <c r="A4" s="7" t="s">
        <v>2</v>
      </c>
      <c r="B4" s="7"/>
      <c r="C4" s="7"/>
      <c r="D4" s="7"/>
      <c r="E4" s="7"/>
      <c r="F4" s="7"/>
    </row>
    <row r="5" spans="1:12" ht="41.4" x14ac:dyDescent="0.3">
      <c r="A5" s="10" t="s">
        <v>3</v>
      </c>
      <c r="B5" s="10" t="s">
        <v>4</v>
      </c>
      <c r="C5" s="10" t="s">
        <v>5</v>
      </c>
      <c r="D5" s="10" t="s">
        <v>6</v>
      </c>
      <c r="E5" s="10" t="s">
        <v>7</v>
      </c>
      <c r="F5" s="10" t="s">
        <v>8</v>
      </c>
    </row>
    <row r="6" spans="1:12" x14ac:dyDescent="0.3">
      <c r="A6" s="11" t="s">
        <v>9</v>
      </c>
      <c r="B6" s="12">
        <v>750</v>
      </c>
      <c r="C6" s="12">
        <v>310</v>
      </c>
      <c r="D6" s="13">
        <f t="shared" ref="D6:D12" si="0">IF(B6=0,0,C6/B6)</f>
        <v>0.41333333333333333</v>
      </c>
      <c r="E6" s="14">
        <v>0.3</v>
      </c>
      <c r="F6" s="13">
        <f t="shared" ref="F6:F12" si="1">D6*E6</f>
        <v>0.124</v>
      </c>
    </row>
    <row r="7" spans="1:12" x14ac:dyDescent="0.3">
      <c r="A7" s="11" t="s">
        <v>10</v>
      </c>
      <c r="B7" s="12">
        <v>44</v>
      </c>
      <c r="C7" s="12">
        <v>31</v>
      </c>
      <c r="D7" s="13">
        <f t="shared" si="0"/>
        <v>0.70454545454545459</v>
      </c>
      <c r="E7" s="14">
        <v>0.25</v>
      </c>
      <c r="F7" s="13">
        <f t="shared" si="1"/>
        <v>0.17613636363636365</v>
      </c>
    </row>
    <row r="8" spans="1:12" x14ac:dyDescent="0.3">
      <c r="A8" s="11" t="s">
        <v>11</v>
      </c>
      <c r="B8" s="12">
        <v>65</v>
      </c>
      <c r="C8" s="12">
        <v>48</v>
      </c>
      <c r="D8" s="13">
        <f t="shared" si="0"/>
        <v>0.7384615384615385</v>
      </c>
      <c r="E8" s="14">
        <v>0.1</v>
      </c>
      <c r="F8" s="13">
        <f t="shared" si="1"/>
        <v>7.3846153846153853E-2</v>
      </c>
    </row>
    <row r="9" spans="1:12" x14ac:dyDescent="0.3">
      <c r="A9" s="11" t="s">
        <v>12</v>
      </c>
      <c r="B9" s="12">
        <v>680</v>
      </c>
      <c r="C9" s="12">
        <v>590</v>
      </c>
      <c r="D9" s="13">
        <f t="shared" si="0"/>
        <v>0.86764705882352944</v>
      </c>
      <c r="E9" s="14">
        <v>0.15</v>
      </c>
      <c r="F9" s="13">
        <f t="shared" si="1"/>
        <v>0.13014705882352942</v>
      </c>
    </row>
    <row r="10" spans="1:12" x14ac:dyDescent="0.3">
      <c r="A10" s="11" t="s">
        <v>13</v>
      </c>
      <c r="B10" s="12">
        <v>95</v>
      </c>
      <c r="C10" s="12">
        <v>78</v>
      </c>
      <c r="D10" s="13">
        <f t="shared" si="0"/>
        <v>0.82105263157894737</v>
      </c>
      <c r="E10" s="14">
        <v>0.1</v>
      </c>
      <c r="F10" s="13">
        <f t="shared" si="1"/>
        <v>8.2105263157894737E-2</v>
      </c>
    </row>
    <row r="11" spans="1:12" x14ac:dyDescent="0.3">
      <c r="A11" s="11" t="s">
        <v>14</v>
      </c>
      <c r="B11" s="12">
        <v>180</v>
      </c>
      <c r="C11" s="12">
        <v>142</v>
      </c>
      <c r="D11" s="13">
        <f t="shared" si="0"/>
        <v>0.78888888888888886</v>
      </c>
      <c r="E11" s="14">
        <v>0.05</v>
      </c>
      <c r="F11" s="13">
        <f t="shared" si="1"/>
        <v>3.9444444444444449E-2</v>
      </c>
    </row>
    <row r="12" spans="1:12" x14ac:dyDescent="0.3">
      <c r="A12" s="11" t="s">
        <v>15</v>
      </c>
      <c r="B12" s="12">
        <v>95</v>
      </c>
      <c r="C12" s="12">
        <v>81</v>
      </c>
      <c r="D12" s="13">
        <f t="shared" si="0"/>
        <v>0.85263157894736841</v>
      </c>
      <c r="E12" s="14">
        <v>0.05</v>
      </c>
      <c r="F12" s="13">
        <f t="shared" si="1"/>
        <v>4.2631578947368423E-2</v>
      </c>
    </row>
    <row r="13" spans="1:12" ht="15.6" x14ac:dyDescent="0.3">
      <c r="A13" s="15" t="s">
        <v>16</v>
      </c>
      <c r="B13" s="16"/>
      <c r="C13" s="16"/>
      <c r="D13" s="16"/>
      <c r="E13" s="16"/>
      <c r="F13" s="17">
        <f>SUM(F6:F12)</f>
        <v>0.66831086285575447</v>
      </c>
    </row>
    <row r="14" spans="1:12" x14ac:dyDescent="0.3">
      <c r="A14" s="6" t="s">
        <v>17</v>
      </c>
      <c r="B14" s="6"/>
      <c r="C14" s="6"/>
      <c r="D14" s="6"/>
      <c r="E14" s="6"/>
      <c r="F14" s="6"/>
    </row>
    <row r="16" spans="1:12" ht="15" customHeight="1" x14ac:dyDescent="0.3">
      <c r="A16" s="7" t="s">
        <v>18</v>
      </c>
      <c r="B16" s="7"/>
      <c r="C16" s="7"/>
      <c r="D16" s="7"/>
      <c r="E16" s="7"/>
      <c r="F16" s="7"/>
      <c r="G16" s="7"/>
    </row>
    <row r="17" spans="1:7" ht="27.6" x14ac:dyDescent="0.3">
      <c r="A17" s="10" t="s">
        <v>19</v>
      </c>
      <c r="B17" s="10" t="s">
        <v>20</v>
      </c>
      <c r="C17" s="10" t="s">
        <v>21</v>
      </c>
      <c r="D17" s="10" t="s">
        <v>22</v>
      </c>
      <c r="E17" s="10" t="s">
        <v>23</v>
      </c>
    </row>
    <row r="18" spans="1:7" x14ac:dyDescent="0.3">
      <c r="A18" s="18" t="s">
        <v>24</v>
      </c>
      <c r="B18" s="19">
        <v>750</v>
      </c>
      <c r="C18" t="s">
        <v>25</v>
      </c>
      <c r="D18" t="s">
        <v>26</v>
      </c>
      <c r="E18" t="s">
        <v>27</v>
      </c>
    </row>
    <row r="19" spans="1:7" x14ac:dyDescent="0.3">
      <c r="A19" s="20" t="s">
        <v>28</v>
      </c>
      <c r="B19" s="21">
        <v>540</v>
      </c>
      <c r="C19" s="22">
        <f>B19/B18</f>
        <v>0.72</v>
      </c>
      <c r="D19" s="22">
        <f>B19/B18</f>
        <v>0.72</v>
      </c>
      <c r="E19" t="s">
        <v>29</v>
      </c>
    </row>
    <row r="20" spans="1:7" x14ac:dyDescent="0.3">
      <c r="A20" s="23" t="s">
        <v>30</v>
      </c>
      <c r="B20" s="12">
        <v>40</v>
      </c>
      <c r="C20" s="13">
        <f t="shared" ref="C20:C26" si="2">B20/$B$19</f>
        <v>7.407407407407407E-2</v>
      </c>
      <c r="D20" s="13">
        <f t="shared" ref="D20:D26" si="3">B20/$B$18</f>
        <v>5.3333333333333337E-2</v>
      </c>
      <c r="E20" s="12" t="s">
        <v>31</v>
      </c>
    </row>
    <row r="21" spans="1:7" x14ac:dyDescent="0.3">
      <c r="A21" s="23" t="s">
        <v>32</v>
      </c>
      <c r="B21" s="12">
        <v>25</v>
      </c>
      <c r="C21" s="13">
        <f t="shared" si="2"/>
        <v>4.6296296296296294E-2</v>
      </c>
      <c r="D21" s="13">
        <f t="shared" si="3"/>
        <v>3.3333333333333333E-2</v>
      </c>
      <c r="E21" s="12" t="s">
        <v>33</v>
      </c>
    </row>
    <row r="22" spans="1:7" x14ac:dyDescent="0.3">
      <c r="A22" s="23" t="s">
        <v>34</v>
      </c>
      <c r="B22" s="12">
        <v>55</v>
      </c>
      <c r="C22" s="13">
        <f t="shared" si="2"/>
        <v>0.10185185185185185</v>
      </c>
      <c r="D22" s="13">
        <f t="shared" si="3"/>
        <v>7.3333333333333334E-2</v>
      </c>
      <c r="E22" s="12" t="s">
        <v>35</v>
      </c>
    </row>
    <row r="23" spans="1:7" x14ac:dyDescent="0.3">
      <c r="A23" s="23" t="s">
        <v>36</v>
      </c>
      <c r="B23" s="12">
        <v>35</v>
      </c>
      <c r="C23" s="13">
        <f t="shared" si="2"/>
        <v>6.4814814814814811E-2</v>
      </c>
      <c r="D23" s="13">
        <f t="shared" si="3"/>
        <v>4.6666666666666669E-2</v>
      </c>
      <c r="E23" s="12" t="s">
        <v>37</v>
      </c>
    </row>
    <row r="24" spans="1:7" x14ac:dyDescent="0.3">
      <c r="A24" s="23" t="s">
        <v>38</v>
      </c>
      <c r="B24" s="12">
        <v>30</v>
      </c>
      <c r="C24" s="13">
        <f t="shared" si="2"/>
        <v>5.5555555555555552E-2</v>
      </c>
      <c r="D24" s="13">
        <f t="shared" si="3"/>
        <v>0.04</v>
      </c>
      <c r="E24" s="12" t="s">
        <v>39</v>
      </c>
    </row>
    <row r="25" spans="1:7" x14ac:dyDescent="0.3">
      <c r="A25" s="23" t="s">
        <v>40</v>
      </c>
      <c r="B25" s="12">
        <v>45</v>
      </c>
      <c r="C25" s="13">
        <f t="shared" si="2"/>
        <v>8.3333333333333329E-2</v>
      </c>
      <c r="D25" s="13">
        <f t="shared" si="3"/>
        <v>0.06</v>
      </c>
      <c r="E25" s="12" t="s">
        <v>41</v>
      </c>
    </row>
    <row r="26" spans="1:7" x14ac:dyDescent="0.3">
      <c r="A26" s="24" t="s">
        <v>42</v>
      </c>
      <c r="B26" s="25">
        <v>310</v>
      </c>
      <c r="C26" s="26">
        <f t="shared" si="2"/>
        <v>0.57407407407407407</v>
      </c>
      <c r="D26" s="26">
        <f t="shared" si="3"/>
        <v>0.41333333333333333</v>
      </c>
      <c r="E26" s="25" t="s">
        <v>43</v>
      </c>
    </row>
    <row r="27" spans="1:7" x14ac:dyDescent="0.3">
      <c r="A27" s="27" t="s">
        <v>44</v>
      </c>
      <c r="B27" s="27">
        <f>SUM(B20:B26)</f>
        <v>540</v>
      </c>
      <c r="C27" s="28"/>
      <c r="D27" s="28"/>
      <c r="E27" s="28"/>
    </row>
    <row r="29" spans="1:7" x14ac:dyDescent="0.3">
      <c r="A29" s="29" t="s">
        <v>45</v>
      </c>
      <c r="B29" s="30">
        <f>B18-B19</f>
        <v>210</v>
      </c>
      <c r="C29" s="31">
        <f>B29/B18</f>
        <v>0.28000000000000003</v>
      </c>
      <c r="D29" s="30"/>
      <c r="E29" s="30" t="s">
        <v>46</v>
      </c>
    </row>
    <row r="31" spans="1:7" ht="54.75" customHeight="1" x14ac:dyDescent="0.3">
      <c r="A31" s="5" t="s">
        <v>47</v>
      </c>
      <c r="B31" s="5"/>
      <c r="C31" s="5"/>
      <c r="D31" s="5"/>
      <c r="E31" s="5"/>
      <c r="F31" s="5"/>
      <c r="G31" s="5"/>
    </row>
    <row r="32" spans="1:7" x14ac:dyDescent="0.3">
      <c r="A32" s="5"/>
      <c r="B32" s="5"/>
      <c r="C32" s="5"/>
      <c r="D32" s="5"/>
      <c r="E32" s="5"/>
      <c r="F32" s="5"/>
      <c r="G32" s="5"/>
    </row>
    <row r="33" spans="1:7" x14ac:dyDescent="0.3">
      <c r="A33" s="5"/>
      <c r="B33" s="5"/>
      <c r="C33" s="5"/>
      <c r="D33" s="5"/>
      <c r="E33" s="5"/>
      <c r="F33" s="5"/>
      <c r="G33" s="5"/>
    </row>
  </sheetData>
  <mergeCells count="6">
    <mergeCell ref="A31:G33"/>
    <mergeCell ref="A1:L1"/>
    <mergeCell ref="A2:L2"/>
    <mergeCell ref="A4:F4"/>
    <mergeCell ref="A14:F14"/>
    <mergeCell ref="A16:G16"/>
  </mergeCells>
  <pageMargins left="0.75" right="0.75" top="1" bottom="1"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24"/>
  <sheetViews>
    <sheetView zoomScaleNormal="100" workbookViewId="0">
      <pane ySplit="4" topLeftCell="A5" activePane="bottomLeft" state="frozen"/>
      <selection pane="bottomLeft"/>
    </sheetView>
  </sheetViews>
  <sheetFormatPr defaultColWidth="8.6640625" defaultRowHeight="14.4" x14ac:dyDescent="0.3"/>
  <cols>
    <col min="1" max="1" width="6" customWidth="1"/>
    <col min="2" max="2" width="32" customWidth="1"/>
    <col min="3" max="3" width="11" customWidth="1"/>
    <col min="4" max="4" width="9" customWidth="1"/>
    <col min="5" max="6" width="10" customWidth="1"/>
    <col min="7" max="7" width="12" customWidth="1"/>
    <col min="8" max="8" width="14" customWidth="1"/>
    <col min="9" max="9" width="11" customWidth="1"/>
    <col min="10" max="10" width="32" customWidth="1"/>
  </cols>
  <sheetData>
    <row r="1" spans="1:10" ht="25.5" customHeight="1" x14ac:dyDescent="0.3">
      <c r="A1" s="9" t="s">
        <v>48</v>
      </c>
      <c r="B1" s="9"/>
      <c r="C1" s="9"/>
      <c r="D1" s="9"/>
      <c r="E1" s="9"/>
      <c r="F1" s="9"/>
      <c r="G1" s="9"/>
      <c r="H1" s="9"/>
      <c r="I1" s="9"/>
      <c r="J1" s="9"/>
    </row>
    <row r="2" spans="1:10" ht="15" customHeight="1" x14ac:dyDescent="0.3">
      <c r="A2" s="8" t="s">
        <v>49</v>
      </c>
      <c r="B2" s="8"/>
      <c r="C2" s="8"/>
      <c r="D2" s="8"/>
      <c r="E2" s="8"/>
      <c r="F2" s="8"/>
      <c r="G2" s="8"/>
      <c r="H2" s="8"/>
      <c r="I2" s="8"/>
      <c r="J2" s="8"/>
    </row>
    <row r="4" spans="1:10" ht="15" customHeight="1" x14ac:dyDescent="0.3">
      <c r="A4" s="7" t="s">
        <v>50</v>
      </c>
      <c r="B4" s="7"/>
      <c r="C4" s="7"/>
      <c r="D4" s="7"/>
      <c r="E4" s="7"/>
      <c r="F4" s="7"/>
      <c r="G4" s="7"/>
      <c r="H4" s="7"/>
      <c r="I4" s="7"/>
      <c r="J4" s="7"/>
    </row>
    <row r="5" spans="1:10" ht="27.6" x14ac:dyDescent="0.3">
      <c r="A5" s="10" t="s">
        <v>51</v>
      </c>
      <c r="B5" s="10" t="s">
        <v>52</v>
      </c>
      <c r="C5" s="10" t="s">
        <v>4</v>
      </c>
      <c r="D5" s="10" t="s">
        <v>53</v>
      </c>
      <c r="E5" s="10" t="s">
        <v>54</v>
      </c>
      <c r="F5" s="10" t="s">
        <v>55</v>
      </c>
      <c r="G5" s="10" t="s">
        <v>56</v>
      </c>
      <c r="H5" s="10" t="s">
        <v>57</v>
      </c>
      <c r="I5" s="10" t="s">
        <v>58</v>
      </c>
      <c r="J5" s="10" t="s">
        <v>23</v>
      </c>
    </row>
    <row r="6" spans="1:10" x14ac:dyDescent="0.3">
      <c r="A6" s="12">
        <v>1</v>
      </c>
      <c r="B6" s="32" t="s">
        <v>59</v>
      </c>
      <c r="C6" s="12">
        <v>36</v>
      </c>
      <c r="D6" s="12">
        <v>28</v>
      </c>
      <c r="E6" s="12">
        <v>22</v>
      </c>
      <c r="F6" s="12">
        <v>4</v>
      </c>
      <c r="G6" s="12">
        <v>2</v>
      </c>
      <c r="H6" s="13">
        <f>IF(D6=0,0,E6/D6)</f>
        <v>0.7857142857142857</v>
      </c>
      <c r="I6" s="12">
        <f>C6-D6</f>
        <v>8</v>
      </c>
      <c r="J6" s="32" t="s">
        <v>60</v>
      </c>
    </row>
    <row r="7" spans="1:10" x14ac:dyDescent="0.3">
      <c r="A7" s="12">
        <v>2</v>
      </c>
      <c r="B7" s="32" t="s">
        <v>61</v>
      </c>
      <c r="C7" s="12">
        <v>4</v>
      </c>
      <c r="D7" s="12">
        <v>3</v>
      </c>
      <c r="E7" s="12">
        <v>2</v>
      </c>
      <c r="F7" s="12">
        <v>0</v>
      </c>
      <c r="G7" s="12">
        <v>1</v>
      </c>
      <c r="H7" s="13">
        <f>IF(D7=0,0,E7/D7)</f>
        <v>0.66666666666666663</v>
      </c>
      <c r="I7" s="12">
        <f>C7-D7</f>
        <v>1</v>
      </c>
      <c r="J7" s="32" t="s">
        <v>62</v>
      </c>
    </row>
    <row r="8" spans="1:10" x14ac:dyDescent="0.3">
      <c r="A8" s="12">
        <v>3</v>
      </c>
      <c r="B8" s="32" t="s">
        <v>63</v>
      </c>
      <c r="C8" s="12">
        <v>4</v>
      </c>
      <c r="D8" s="12">
        <v>3</v>
      </c>
      <c r="E8" s="12">
        <v>3</v>
      </c>
      <c r="F8" s="12">
        <v>0</v>
      </c>
      <c r="G8" s="12">
        <v>0</v>
      </c>
      <c r="H8" s="13">
        <f>IF(D8=0,0,E8/D8)</f>
        <v>1</v>
      </c>
      <c r="I8" s="12">
        <f>C8-D8</f>
        <v>1</v>
      </c>
      <c r="J8" s="32" t="s">
        <v>64</v>
      </c>
    </row>
    <row r="9" spans="1:10" x14ac:dyDescent="0.3">
      <c r="A9" s="27"/>
      <c r="B9" s="27" t="s">
        <v>65</v>
      </c>
      <c r="C9" s="27">
        <f>SUM(C6:C8)</f>
        <v>44</v>
      </c>
      <c r="D9" s="27">
        <f>SUM(D6:D8)</f>
        <v>34</v>
      </c>
      <c r="E9" s="27">
        <f>SUM(E6:E8)</f>
        <v>27</v>
      </c>
      <c r="F9" s="27">
        <f>SUM(F6:F8)</f>
        <v>4</v>
      </c>
      <c r="G9" s="27">
        <f>SUM(G6:G8)</f>
        <v>3</v>
      </c>
      <c r="H9" s="33">
        <f>IF(D9=0,0,E9/D9)</f>
        <v>0.79411764705882348</v>
      </c>
      <c r="I9" s="27">
        <f>C9-D9</f>
        <v>10</v>
      </c>
      <c r="J9" s="27"/>
    </row>
    <row r="11" spans="1:10" ht="15" customHeight="1" x14ac:dyDescent="0.3">
      <c r="A11" s="7" t="s">
        <v>66</v>
      </c>
      <c r="B11" s="7"/>
      <c r="C11" s="7"/>
      <c r="D11" s="7"/>
      <c r="E11" s="7"/>
      <c r="F11" s="7"/>
      <c r="G11" s="7"/>
      <c r="H11" s="7"/>
      <c r="I11" s="7"/>
      <c r="J11" s="7"/>
    </row>
    <row r="12" spans="1:10" ht="27.6" x14ac:dyDescent="0.3">
      <c r="A12" s="10" t="s">
        <v>51</v>
      </c>
      <c r="B12" s="10" t="s">
        <v>52</v>
      </c>
      <c r="C12" s="10" t="s">
        <v>4</v>
      </c>
      <c r="D12" s="10" t="s">
        <v>53</v>
      </c>
      <c r="E12" s="10" t="s">
        <v>54</v>
      </c>
      <c r="F12" s="10" t="s">
        <v>55</v>
      </c>
      <c r="G12" s="10" t="s">
        <v>56</v>
      </c>
      <c r="H12" s="10" t="s">
        <v>57</v>
      </c>
      <c r="I12" s="10" t="s">
        <v>58</v>
      </c>
      <c r="J12" s="10" t="s">
        <v>23</v>
      </c>
    </row>
    <row r="13" spans="1:10" x14ac:dyDescent="0.3">
      <c r="A13" s="12">
        <v>1</v>
      </c>
      <c r="B13" s="32" t="s">
        <v>67</v>
      </c>
      <c r="C13" s="12">
        <v>15</v>
      </c>
      <c r="D13" s="12">
        <v>12</v>
      </c>
      <c r="E13" s="12">
        <v>9</v>
      </c>
      <c r="F13" s="12">
        <v>2</v>
      </c>
      <c r="G13" s="12">
        <v>1</v>
      </c>
      <c r="H13" s="13">
        <f t="shared" ref="H13:H19" si="0">IF(D13=0,0,E13/D13)</f>
        <v>0.75</v>
      </c>
      <c r="I13" s="12">
        <f t="shared" ref="I13:I19" si="1">C13-D13</f>
        <v>3</v>
      </c>
      <c r="J13" s="32" t="s">
        <v>68</v>
      </c>
    </row>
    <row r="14" spans="1:10" x14ac:dyDescent="0.3">
      <c r="A14" s="12">
        <v>2</v>
      </c>
      <c r="B14" s="32" t="s">
        <v>69</v>
      </c>
      <c r="C14" s="12">
        <v>10</v>
      </c>
      <c r="D14" s="12">
        <v>8</v>
      </c>
      <c r="E14" s="12">
        <v>7</v>
      </c>
      <c r="F14" s="12">
        <v>1</v>
      </c>
      <c r="G14" s="12">
        <v>0</v>
      </c>
      <c r="H14" s="13">
        <f t="shared" si="0"/>
        <v>0.875</v>
      </c>
      <c r="I14" s="12">
        <f t="shared" si="1"/>
        <v>2</v>
      </c>
      <c r="J14" s="32" t="s">
        <v>70</v>
      </c>
    </row>
    <row r="15" spans="1:10" x14ac:dyDescent="0.3">
      <c r="A15" s="12">
        <v>3</v>
      </c>
      <c r="B15" s="32" t="s">
        <v>71</v>
      </c>
      <c r="C15" s="12">
        <v>18</v>
      </c>
      <c r="D15" s="12">
        <v>14</v>
      </c>
      <c r="E15" s="12">
        <v>11</v>
      </c>
      <c r="F15" s="12">
        <v>2</v>
      </c>
      <c r="G15" s="12">
        <v>1</v>
      </c>
      <c r="H15" s="13">
        <f t="shared" si="0"/>
        <v>0.7857142857142857</v>
      </c>
      <c r="I15" s="12">
        <f t="shared" si="1"/>
        <v>4</v>
      </c>
      <c r="J15" s="32" t="s">
        <v>62</v>
      </c>
    </row>
    <row r="16" spans="1:10" x14ac:dyDescent="0.3">
      <c r="A16" s="12">
        <v>4</v>
      </c>
      <c r="B16" s="32" t="s">
        <v>72</v>
      </c>
      <c r="C16" s="12">
        <v>4</v>
      </c>
      <c r="D16" s="12">
        <v>3</v>
      </c>
      <c r="E16" s="12">
        <v>3</v>
      </c>
      <c r="F16" s="12">
        <v>0</v>
      </c>
      <c r="G16" s="12">
        <v>0</v>
      </c>
      <c r="H16" s="13">
        <f t="shared" si="0"/>
        <v>1</v>
      </c>
      <c r="I16" s="12">
        <f t="shared" si="1"/>
        <v>1</v>
      </c>
      <c r="J16" s="32" t="s">
        <v>73</v>
      </c>
    </row>
    <row r="17" spans="1:10" x14ac:dyDescent="0.3">
      <c r="A17" s="12">
        <v>5</v>
      </c>
      <c r="B17" s="32" t="s">
        <v>74</v>
      </c>
      <c r="C17" s="12">
        <v>5</v>
      </c>
      <c r="D17" s="12">
        <v>4</v>
      </c>
      <c r="E17" s="12">
        <v>3</v>
      </c>
      <c r="F17" s="12">
        <v>1</v>
      </c>
      <c r="G17" s="12">
        <v>0</v>
      </c>
      <c r="H17" s="13">
        <f t="shared" si="0"/>
        <v>0.75</v>
      </c>
      <c r="I17" s="12">
        <f t="shared" si="1"/>
        <v>1</v>
      </c>
      <c r="J17" s="32" t="s">
        <v>75</v>
      </c>
    </row>
    <row r="18" spans="1:10" x14ac:dyDescent="0.3">
      <c r="A18" s="12">
        <v>6</v>
      </c>
      <c r="B18" s="32" t="s">
        <v>76</v>
      </c>
      <c r="C18" s="12">
        <v>12</v>
      </c>
      <c r="D18" s="12">
        <v>9</v>
      </c>
      <c r="E18" s="12">
        <v>8</v>
      </c>
      <c r="F18" s="12">
        <v>1</v>
      </c>
      <c r="G18" s="12">
        <v>0</v>
      </c>
      <c r="H18" s="13">
        <f t="shared" si="0"/>
        <v>0.88888888888888884</v>
      </c>
      <c r="I18" s="12">
        <f t="shared" si="1"/>
        <v>3</v>
      </c>
      <c r="J18" s="32" t="s">
        <v>77</v>
      </c>
    </row>
    <row r="19" spans="1:10" x14ac:dyDescent="0.3">
      <c r="A19" s="27"/>
      <c r="B19" s="27" t="s">
        <v>78</v>
      </c>
      <c r="C19" s="27">
        <f>SUM(C13:C18)</f>
        <v>64</v>
      </c>
      <c r="D19" s="27">
        <f>SUM(D13:D18)</f>
        <v>50</v>
      </c>
      <c r="E19" s="27">
        <f>SUM(E13:E18)</f>
        <v>41</v>
      </c>
      <c r="F19" s="27">
        <f>SUM(F13:F18)</f>
        <v>7</v>
      </c>
      <c r="G19" s="27">
        <f>SUM(G13:G18)</f>
        <v>2</v>
      </c>
      <c r="H19" s="33">
        <f t="shared" si="0"/>
        <v>0.82</v>
      </c>
      <c r="I19" s="27">
        <f t="shared" si="1"/>
        <v>14</v>
      </c>
      <c r="J19" s="27"/>
    </row>
    <row r="21" spans="1:10" x14ac:dyDescent="0.3">
      <c r="A21" s="34"/>
      <c r="B21" s="34" t="s">
        <v>79</v>
      </c>
      <c r="C21" s="34">
        <f>C9+C19</f>
        <v>108</v>
      </c>
      <c r="D21" s="34">
        <f>D9+D19</f>
        <v>84</v>
      </c>
      <c r="E21" s="34">
        <f>E9+E19</f>
        <v>68</v>
      </c>
      <c r="F21" s="34">
        <f>F9+F19</f>
        <v>11</v>
      </c>
      <c r="G21" s="34">
        <f>G9+G19</f>
        <v>5</v>
      </c>
      <c r="H21" s="35">
        <f>IF(D21=0,0,E21/D21)</f>
        <v>0.80952380952380953</v>
      </c>
      <c r="I21" s="34">
        <f>C21-D21</f>
        <v>24</v>
      </c>
      <c r="J21" s="34"/>
    </row>
    <row r="23" spans="1:10" ht="15" customHeight="1" x14ac:dyDescent="0.3">
      <c r="A23" s="5" t="s">
        <v>80</v>
      </c>
      <c r="B23" s="5"/>
      <c r="C23" s="5"/>
      <c r="D23" s="5"/>
      <c r="E23" s="5"/>
      <c r="F23" s="5"/>
      <c r="G23" s="5"/>
      <c r="H23" s="5"/>
      <c r="I23" s="5"/>
      <c r="J23" s="5"/>
    </row>
    <row r="24" spans="1:10" x14ac:dyDescent="0.3">
      <c r="A24" s="5"/>
      <c r="B24" s="5"/>
      <c r="C24" s="5"/>
      <c r="D24" s="5"/>
      <c r="E24" s="5"/>
      <c r="F24" s="5"/>
      <c r="G24" s="5"/>
      <c r="H24" s="5"/>
      <c r="I24" s="5"/>
      <c r="J24" s="5"/>
    </row>
  </sheetData>
  <mergeCells count="5">
    <mergeCell ref="A1:J1"/>
    <mergeCell ref="A2:J2"/>
    <mergeCell ref="A4:J4"/>
    <mergeCell ref="A11:J11"/>
    <mergeCell ref="A23:J24"/>
  </mergeCells>
  <pageMargins left="0.75" right="0.75" top="1" bottom="1"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K20"/>
  <sheetViews>
    <sheetView zoomScaleNormal="100" workbookViewId="0">
      <pane ySplit="4" topLeftCell="A5" activePane="bottomLeft" state="frozen"/>
      <selection pane="bottomLeft"/>
    </sheetView>
  </sheetViews>
  <sheetFormatPr defaultColWidth="8.6640625" defaultRowHeight="14.4" x14ac:dyDescent="0.3"/>
  <cols>
    <col min="1" max="1" width="6" customWidth="1"/>
    <col min="2" max="2" width="28" customWidth="1"/>
    <col min="3" max="3" width="11" customWidth="1"/>
    <col min="4" max="4" width="9" customWidth="1"/>
    <col min="5" max="5" width="11" customWidth="1"/>
    <col min="6" max="9" width="10" customWidth="1"/>
    <col min="10" max="10" width="11" customWidth="1"/>
    <col min="11" max="11" width="14" customWidth="1"/>
  </cols>
  <sheetData>
    <row r="1" spans="1:11" ht="25.5" customHeight="1" x14ac:dyDescent="0.3">
      <c r="A1" s="9" t="s">
        <v>81</v>
      </c>
      <c r="B1" s="9"/>
      <c r="C1" s="9"/>
      <c r="D1" s="9"/>
      <c r="E1" s="9"/>
      <c r="F1" s="9"/>
      <c r="G1" s="9"/>
      <c r="H1" s="9"/>
      <c r="I1" s="9"/>
      <c r="J1" s="9"/>
      <c r="K1" s="9"/>
    </row>
    <row r="2" spans="1:11" ht="15" customHeight="1" x14ac:dyDescent="0.3">
      <c r="A2" s="8" t="s">
        <v>49</v>
      </c>
      <c r="B2" s="8"/>
      <c r="C2" s="8"/>
      <c r="D2" s="8"/>
      <c r="E2" s="8"/>
      <c r="F2" s="8"/>
      <c r="G2" s="8"/>
      <c r="H2" s="8"/>
      <c r="I2" s="8"/>
      <c r="J2" s="8"/>
      <c r="K2" s="8"/>
    </row>
    <row r="4" spans="1:11" ht="27.6" x14ac:dyDescent="0.3">
      <c r="A4" s="10" t="s">
        <v>51</v>
      </c>
      <c r="B4" s="10" t="s">
        <v>82</v>
      </c>
      <c r="C4" s="10" t="s">
        <v>4</v>
      </c>
      <c r="D4" s="10" t="s">
        <v>53</v>
      </c>
      <c r="E4" s="10" t="s">
        <v>58</v>
      </c>
      <c r="F4" s="10" t="s">
        <v>83</v>
      </c>
      <c r="G4" s="10" t="s">
        <v>84</v>
      </c>
      <c r="H4" s="10" t="s">
        <v>85</v>
      </c>
      <c r="I4" s="10" t="s">
        <v>86</v>
      </c>
      <c r="J4" s="10" t="s">
        <v>87</v>
      </c>
      <c r="K4" s="10" t="s">
        <v>88</v>
      </c>
    </row>
    <row r="5" spans="1:11" x14ac:dyDescent="0.3">
      <c r="A5" s="12">
        <v>1</v>
      </c>
      <c r="B5" s="32" t="s">
        <v>89</v>
      </c>
      <c r="C5" s="12">
        <v>520</v>
      </c>
      <c r="D5" s="12">
        <v>485</v>
      </c>
      <c r="E5" s="12">
        <f t="shared" ref="E5:E16" si="0">C5-D5</f>
        <v>35</v>
      </c>
      <c r="F5" s="13">
        <f t="shared" ref="F5:F16" si="1">IF(C5=0,0,D5/C5)</f>
        <v>0.93269230769230771</v>
      </c>
      <c r="G5" s="12">
        <v>410</v>
      </c>
      <c r="H5" s="12">
        <v>45</v>
      </c>
      <c r="I5" s="12">
        <v>20</v>
      </c>
      <c r="J5" s="12">
        <v>8</v>
      </c>
      <c r="K5" s="12">
        <v>2</v>
      </c>
    </row>
    <row r="6" spans="1:11" x14ac:dyDescent="0.3">
      <c r="A6" s="12">
        <v>2</v>
      </c>
      <c r="B6" s="32" t="s">
        <v>90</v>
      </c>
      <c r="C6" s="12">
        <v>85</v>
      </c>
      <c r="D6" s="12">
        <v>78</v>
      </c>
      <c r="E6" s="12">
        <f t="shared" si="0"/>
        <v>7</v>
      </c>
      <c r="F6" s="13">
        <f t="shared" si="1"/>
        <v>0.91764705882352937</v>
      </c>
      <c r="G6" s="12">
        <v>65</v>
      </c>
      <c r="H6" s="12">
        <v>8</v>
      </c>
      <c r="I6" s="12">
        <v>3</v>
      </c>
      <c r="J6" s="12">
        <v>2</v>
      </c>
      <c r="K6" s="12">
        <v>0</v>
      </c>
    </row>
    <row r="7" spans="1:11" x14ac:dyDescent="0.3">
      <c r="A7" s="12">
        <v>3</v>
      </c>
      <c r="B7" s="32" t="s">
        <v>91</v>
      </c>
      <c r="C7" s="12">
        <v>48</v>
      </c>
      <c r="D7" s="12">
        <v>42</v>
      </c>
      <c r="E7" s="12">
        <f t="shared" si="0"/>
        <v>6</v>
      </c>
      <c r="F7" s="13">
        <f t="shared" si="1"/>
        <v>0.875</v>
      </c>
      <c r="G7" s="12">
        <v>35</v>
      </c>
      <c r="H7" s="12">
        <v>4</v>
      </c>
      <c r="I7" s="12">
        <v>2</v>
      </c>
      <c r="J7" s="12">
        <v>1</v>
      </c>
      <c r="K7" s="12">
        <v>0</v>
      </c>
    </row>
    <row r="8" spans="1:11" x14ac:dyDescent="0.3">
      <c r="A8" s="12">
        <v>4</v>
      </c>
      <c r="B8" s="32" t="s">
        <v>92</v>
      </c>
      <c r="C8" s="12">
        <v>18</v>
      </c>
      <c r="D8" s="12">
        <v>15</v>
      </c>
      <c r="E8" s="12">
        <f t="shared" si="0"/>
        <v>3</v>
      </c>
      <c r="F8" s="13">
        <f t="shared" si="1"/>
        <v>0.83333333333333337</v>
      </c>
      <c r="G8" s="12">
        <v>12</v>
      </c>
      <c r="H8" s="12">
        <v>2</v>
      </c>
      <c r="I8" s="12">
        <v>1</v>
      </c>
      <c r="J8" s="12">
        <v>0</v>
      </c>
      <c r="K8" s="12">
        <v>0</v>
      </c>
    </row>
    <row r="9" spans="1:11" x14ac:dyDescent="0.3">
      <c r="A9" s="12">
        <v>5</v>
      </c>
      <c r="B9" s="32" t="s">
        <v>93</v>
      </c>
      <c r="C9" s="12">
        <v>65</v>
      </c>
      <c r="D9" s="12">
        <v>60</v>
      </c>
      <c r="E9" s="12">
        <f t="shared" si="0"/>
        <v>5</v>
      </c>
      <c r="F9" s="13">
        <f t="shared" si="1"/>
        <v>0.92307692307692313</v>
      </c>
      <c r="G9" s="12">
        <v>55</v>
      </c>
      <c r="H9" s="12">
        <v>3</v>
      </c>
      <c r="I9" s="12">
        <v>2</v>
      </c>
      <c r="J9" s="12">
        <v>0</v>
      </c>
      <c r="K9" s="12">
        <v>0</v>
      </c>
    </row>
    <row r="10" spans="1:11" x14ac:dyDescent="0.3">
      <c r="A10" s="12">
        <v>6</v>
      </c>
      <c r="B10" s="32" t="s">
        <v>94</v>
      </c>
      <c r="C10" s="12">
        <v>36</v>
      </c>
      <c r="D10" s="12">
        <v>32</v>
      </c>
      <c r="E10" s="12">
        <f t="shared" si="0"/>
        <v>4</v>
      </c>
      <c r="F10" s="13">
        <f t="shared" si="1"/>
        <v>0.88888888888888884</v>
      </c>
      <c r="G10" s="12">
        <v>28</v>
      </c>
      <c r="H10" s="12">
        <v>2</v>
      </c>
      <c r="I10" s="12">
        <v>1</v>
      </c>
      <c r="J10" s="12">
        <v>1</v>
      </c>
      <c r="K10" s="12">
        <v>0</v>
      </c>
    </row>
    <row r="11" spans="1:11" x14ac:dyDescent="0.3">
      <c r="A11" s="12">
        <v>7</v>
      </c>
      <c r="B11" s="32" t="s">
        <v>95</v>
      </c>
      <c r="C11" s="12">
        <v>12</v>
      </c>
      <c r="D11" s="12">
        <v>10</v>
      </c>
      <c r="E11" s="12">
        <f t="shared" si="0"/>
        <v>2</v>
      </c>
      <c r="F11" s="13">
        <f t="shared" si="1"/>
        <v>0.83333333333333337</v>
      </c>
      <c r="G11" s="12">
        <v>9</v>
      </c>
      <c r="H11" s="12">
        <v>1</v>
      </c>
      <c r="I11" s="12">
        <v>0</v>
      </c>
      <c r="J11" s="12">
        <v>0</v>
      </c>
      <c r="K11" s="12">
        <v>0</v>
      </c>
    </row>
    <row r="12" spans="1:11" x14ac:dyDescent="0.3">
      <c r="A12" s="12">
        <v>8</v>
      </c>
      <c r="B12" s="32" t="s">
        <v>96</v>
      </c>
      <c r="C12" s="12">
        <v>8</v>
      </c>
      <c r="D12" s="12">
        <v>7</v>
      </c>
      <c r="E12" s="12">
        <f t="shared" si="0"/>
        <v>1</v>
      </c>
      <c r="F12" s="13">
        <f t="shared" si="1"/>
        <v>0.875</v>
      </c>
      <c r="G12" s="12">
        <v>6</v>
      </c>
      <c r="H12" s="12">
        <v>1</v>
      </c>
      <c r="I12" s="12">
        <v>0</v>
      </c>
      <c r="J12" s="12">
        <v>0</v>
      </c>
      <c r="K12" s="12">
        <v>0</v>
      </c>
    </row>
    <row r="13" spans="1:11" x14ac:dyDescent="0.3">
      <c r="A13" s="12">
        <v>9</v>
      </c>
      <c r="B13" s="32" t="s">
        <v>97</v>
      </c>
      <c r="C13" s="12">
        <v>12</v>
      </c>
      <c r="D13" s="12">
        <v>10</v>
      </c>
      <c r="E13" s="12">
        <f t="shared" si="0"/>
        <v>2</v>
      </c>
      <c r="F13" s="13">
        <f t="shared" si="1"/>
        <v>0.83333333333333337</v>
      </c>
      <c r="G13" s="12">
        <v>8</v>
      </c>
      <c r="H13" s="12">
        <v>1</v>
      </c>
      <c r="I13" s="12">
        <v>1</v>
      </c>
      <c r="J13" s="12">
        <v>0</v>
      </c>
      <c r="K13" s="12">
        <v>0</v>
      </c>
    </row>
    <row r="14" spans="1:11" ht="28.8" x14ac:dyDescent="0.3">
      <c r="A14" s="12">
        <v>10</v>
      </c>
      <c r="B14" s="32" t="s">
        <v>98</v>
      </c>
      <c r="C14" s="12">
        <v>8</v>
      </c>
      <c r="D14" s="12">
        <v>6</v>
      </c>
      <c r="E14" s="12">
        <f t="shared" si="0"/>
        <v>2</v>
      </c>
      <c r="F14" s="13">
        <f t="shared" si="1"/>
        <v>0.75</v>
      </c>
      <c r="G14" s="12">
        <v>5</v>
      </c>
      <c r="H14" s="12">
        <v>1</v>
      </c>
      <c r="I14" s="12">
        <v>0</v>
      </c>
      <c r="J14" s="12">
        <v>0</v>
      </c>
      <c r="K14" s="12">
        <v>0</v>
      </c>
    </row>
    <row r="15" spans="1:11" x14ac:dyDescent="0.3">
      <c r="A15" s="12">
        <v>11</v>
      </c>
      <c r="B15" s="32" t="s">
        <v>99</v>
      </c>
      <c r="C15" s="12">
        <v>25</v>
      </c>
      <c r="D15" s="12">
        <v>22</v>
      </c>
      <c r="E15" s="12">
        <f t="shared" si="0"/>
        <v>3</v>
      </c>
      <c r="F15" s="13">
        <f t="shared" si="1"/>
        <v>0.88</v>
      </c>
      <c r="G15" s="12">
        <v>20</v>
      </c>
      <c r="H15" s="12">
        <v>2</v>
      </c>
      <c r="I15" s="12">
        <v>0</v>
      </c>
      <c r="J15" s="12">
        <v>0</v>
      </c>
      <c r="K15" s="12">
        <v>0</v>
      </c>
    </row>
    <row r="16" spans="1:11" x14ac:dyDescent="0.3">
      <c r="A16" s="27"/>
      <c r="B16" s="27" t="s">
        <v>100</v>
      </c>
      <c r="C16" s="27">
        <f>SUM(C5:C15)</f>
        <v>837</v>
      </c>
      <c r="D16" s="27">
        <f>SUM(D5:D15)</f>
        <v>767</v>
      </c>
      <c r="E16" s="27">
        <f t="shared" si="0"/>
        <v>70</v>
      </c>
      <c r="F16" s="33">
        <f t="shared" si="1"/>
        <v>0.91636798088410987</v>
      </c>
      <c r="G16" s="27">
        <f>SUM(G5:G15)</f>
        <v>653</v>
      </c>
      <c r="H16" s="27">
        <f>SUM(H5:H15)</f>
        <v>70</v>
      </c>
      <c r="I16" s="27">
        <f>SUM(I5:I15)</f>
        <v>30</v>
      </c>
      <c r="J16" s="27">
        <f>SUM(J5:J15)</f>
        <v>12</v>
      </c>
      <c r="K16" s="27">
        <f>SUM(K5:K15)</f>
        <v>2</v>
      </c>
    </row>
    <row r="18" spans="1:11" ht="15" customHeight="1" x14ac:dyDescent="0.3">
      <c r="A18" s="4" t="s">
        <v>101</v>
      </c>
      <c r="B18" s="4"/>
      <c r="C18" s="4"/>
      <c r="D18" s="4"/>
      <c r="E18" s="4"/>
      <c r="F18" s="4"/>
      <c r="G18" s="4"/>
      <c r="H18" s="4"/>
      <c r="I18" s="4"/>
      <c r="J18" s="4"/>
      <c r="K18" s="4"/>
    </row>
    <row r="19" spans="1:11" x14ac:dyDescent="0.3">
      <c r="A19" s="4"/>
      <c r="B19" s="4"/>
      <c r="C19" s="4"/>
      <c r="D19" s="4"/>
      <c r="E19" s="4"/>
      <c r="F19" s="4"/>
      <c r="G19" s="4"/>
      <c r="H19" s="4"/>
      <c r="I19" s="4"/>
      <c r="J19" s="4"/>
      <c r="K19" s="4"/>
    </row>
    <row r="20" spans="1:11" x14ac:dyDescent="0.3">
      <c r="A20" s="4"/>
      <c r="B20" s="4"/>
      <c r="C20" s="4"/>
      <c r="D20" s="4"/>
      <c r="E20" s="4"/>
      <c r="F20" s="4"/>
      <c r="G20" s="4"/>
      <c r="H20" s="4"/>
      <c r="I20" s="4"/>
      <c r="J20" s="4"/>
      <c r="K20" s="4"/>
    </row>
  </sheetData>
  <mergeCells count="3">
    <mergeCell ref="A1:K1"/>
    <mergeCell ref="A2:K2"/>
    <mergeCell ref="A18:K20"/>
  </mergeCells>
  <pageMargins left="0.75" right="0.75" top="1" bottom="1"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H17"/>
  <sheetViews>
    <sheetView zoomScaleNormal="100" workbookViewId="0">
      <pane ySplit="4" topLeftCell="A5" activePane="bottomLeft" state="frozen"/>
      <selection pane="bottomLeft"/>
    </sheetView>
  </sheetViews>
  <sheetFormatPr defaultColWidth="8.6640625" defaultRowHeight="14.4" x14ac:dyDescent="0.3"/>
  <cols>
    <col min="1" max="1" width="6" customWidth="1"/>
    <col min="2" max="2" width="32" customWidth="1"/>
    <col min="3" max="3" width="12" customWidth="1"/>
    <col min="4" max="4" width="10" customWidth="1"/>
    <col min="5" max="5" width="12" customWidth="1"/>
    <col min="6" max="6" width="13" customWidth="1"/>
    <col min="7" max="7" width="11" customWidth="1"/>
    <col min="8" max="8" width="14" customWidth="1"/>
  </cols>
  <sheetData>
    <row r="1" spans="1:8" ht="25.5" customHeight="1" x14ac:dyDescent="0.3">
      <c r="A1" s="9" t="s">
        <v>102</v>
      </c>
      <c r="B1" s="9"/>
      <c r="C1" s="9"/>
      <c r="D1" s="9"/>
      <c r="E1" s="9"/>
      <c r="F1" s="9"/>
      <c r="G1" s="9"/>
      <c r="H1" s="9"/>
    </row>
    <row r="2" spans="1:8" ht="15" customHeight="1" x14ac:dyDescent="0.3">
      <c r="A2" s="8" t="s">
        <v>49</v>
      </c>
      <c r="B2" s="8"/>
      <c r="C2" s="8"/>
      <c r="D2" s="8"/>
      <c r="E2" s="8"/>
      <c r="F2" s="8"/>
      <c r="G2" s="8"/>
      <c r="H2" s="8"/>
    </row>
    <row r="4" spans="1:8" ht="27.6" x14ac:dyDescent="0.3">
      <c r="A4" s="10" t="s">
        <v>51</v>
      </c>
      <c r="B4" s="10" t="s">
        <v>103</v>
      </c>
      <c r="C4" s="10" t="s">
        <v>4</v>
      </c>
      <c r="D4" s="10" t="s">
        <v>53</v>
      </c>
      <c r="E4" s="10" t="s">
        <v>73</v>
      </c>
      <c r="F4" s="10" t="s">
        <v>104</v>
      </c>
      <c r="G4" s="10" t="s">
        <v>83</v>
      </c>
      <c r="H4" s="10" t="s">
        <v>57</v>
      </c>
    </row>
    <row r="5" spans="1:8" x14ac:dyDescent="0.3">
      <c r="A5" s="12">
        <v>1</v>
      </c>
      <c r="B5" s="32" t="s">
        <v>105</v>
      </c>
      <c r="C5" s="12">
        <v>24</v>
      </c>
      <c r="D5" s="12">
        <v>18</v>
      </c>
      <c r="E5" s="12">
        <v>15</v>
      </c>
      <c r="F5" s="12">
        <v>3</v>
      </c>
      <c r="G5" s="13">
        <f t="shared" ref="G5:G14" si="0">IF(C5=0,0,D5/C5)</f>
        <v>0.75</v>
      </c>
      <c r="H5" s="13">
        <f t="shared" ref="H5:H14" si="1">IF(D5=0,0,E5/D5)</f>
        <v>0.83333333333333337</v>
      </c>
    </row>
    <row r="6" spans="1:8" x14ac:dyDescent="0.3">
      <c r="A6" s="12">
        <v>2</v>
      </c>
      <c r="B6" s="32" t="s">
        <v>106</v>
      </c>
      <c r="C6" s="12">
        <v>18</v>
      </c>
      <c r="D6" s="12">
        <v>14</v>
      </c>
      <c r="E6" s="12">
        <v>12</v>
      </c>
      <c r="F6" s="12">
        <v>2</v>
      </c>
      <c r="G6" s="13">
        <f t="shared" si="0"/>
        <v>0.77777777777777779</v>
      </c>
      <c r="H6" s="13">
        <f t="shared" si="1"/>
        <v>0.8571428571428571</v>
      </c>
    </row>
    <row r="7" spans="1:8" x14ac:dyDescent="0.3">
      <c r="A7" s="12">
        <v>3</v>
      </c>
      <c r="B7" s="32" t="s">
        <v>107</v>
      </c>
      <c r="C7" s="12">
        <v>30</v>
      </c>
      <c r="D7" s="12">
        <v>25</v>
      </c>
      <c r="E7" s="12">
        <v>22</v>
      </c>
      <c r="F7" s="12">
        <v>3</v>
      </c>
      <c r="G7" s="13">
        <f t="shared" si="0"/>
        <v>0.83333333333333337</v>
      </c>
      <c r="H7" s="13">
        <f t="shared" si="1"/>
        <v>0.88</v>
      </c>
    </row>
    <row r="8" spans="1:8" x14ac:dyDescent="0.3">
      <c r="A8" s="12">
        <v>4</v>
      </c>
      <c r="B8" s="32" t="s">
        <v>108</v>
      </c>
      <c r="C8" s="12">
        <v>12</v>
      </c>
      <c r="D8" s="12">
        <v>9</v>
      </c>
      <c r="E8" s="12">
        <v>7</v>
      </c>
      <c r="F8" s="12">
        <v>2</v>
      </c>
      <c r="G8" s="13">
        <f t="shared" si="0"/>
        <v>0.75</v>
      </c>
      <c r="H8" s="13">
        <f t="shared" si="1"/>
        <v>0.77777777777777779</v>
      </c>
    </row>
    <row r="9" spans="1:8" x14ac:dyDescent="0.3">
      <c r="A9" s="12">
        <v>5</v>
      </c>
      <c r="B9" s="32" t="s">
        <v>109</v>
      </c>
      <c r="C9" s="12">
        <v>16</v>
      </c>
      <c r="D9" s="12">
        <v>13</v>
      </c>
      <c r="E9" s="12">
        <v>12</v>
      </c>
      <c r="F9" s="12">
        <v>1</v>
      </c>
      <c r="G9" s="13">
        <f t="shared" si="0"/>
        <v>0.8125</v>
      </c>
      <c r="H9" s="13">
        <f t="shared" si="1"/>
        <v>0.92307692307692313</v>
      </c>
    </row>
    <row r="10" spans="1:8" x14ac:dyDescent="0.3">
      <c r="A10" s="12">
        <v>6</v>
      </c>
      <c r="B10" s="32" t="s">
        <v>110</v>
      </c>
      <c r="C10" s="12">
        <v>20</v>
      </c>
      <c r="D10" s="12">
        <v>16</v>
      </c>
      <c r="E10" s="12">
        <v>14</v>
      </c>
      <c r="F10" s="12">
        <v>2</v>
      </c>
      <c r="G10" s="13">
        <f t="shared" si="0"/>
        <v>0.8</v>
      </c>
      <c r="H10" s="13">
        <f t="shared" si="1"/>
        <v>0.875</v>
      </c>
    </row>
    <row r="11" spans="1:8" x14ac:dyDescent="0.3">
      <c r="A11" s="12">
        <v>7</v>
      </c>
      <c r="B11" s="32" t="s">
        <v>111</v>
      </c>
      <c r="C11" s="12">
        <v>45</v>
      </c>
      <c r="D11" s="12">
        <v>40</v>
      </c>
      <c r="E11" s="12">
        <v>38</v>
      </c>
      <c r="F11" s="12">
        <v>2</v>
      </c>
      <c r="G11" s="13">
        <f t="shared" si="0"/>
        <v>0.88888888888888884</v>
      </c>
      <c r="H11" s="13">
        <f t="shared" si="1"/>
        <v>0.95</v>
      </c>
    </row>
    <row r="12" spans="1:8" x14ac:dyDescent="0.3">
      <c r="A12" s="12">
        <v>8</v>
      </c>
      <c r="B12" s="32" t="s">
        <v>112</v>
      </c>
      <c r="C12" s="12">
        <v>55</v>
      </c>
      <c r="D12" s="12">
        <v>50</v>
      </c>
      <c r="E12" s="12">
        <v>48</v>
      </c>
      <c r="F12" s="12">
        <v>2</v>
      </c>
      <c r="G12" s="13">
        <f t="shared" si="0"/>
        <v>0.90909090909090906</v>
      </c>
      <c r="H12" s="13">
        <f t="shared" si="1"/>
        <v>0.96</v>
      </c>
    </row>
    <row r="13" spans="1:8" x14ac:dyDescent="0.3">
      <c r="A13" s="12">
        <v>9</v>
      </c>
      <c r="B13" s="32" t="s">
        <v>113</v>
      </c>
      <c r="C13" s="12">
        <v>28</v>
      </c>
      <c r="D13" s="12">
        <v>22</v>
      </c>
      <c r="E13" s="12">
        <v>20</v>
      </c>
      <c r="F13" s="12">
        <v>2</v>
      </c>
      <c r="G13" s="13">
        <f t="shared" si="0"/>
        <v>0.7857142857142857</v>
      </c>
      <c r="H13" s="13">
        <f t="shared" si="1"/>
        <v>0.90909090909090906</v>
      </c>
    </row>
    <row r="14" spans="1:8" x14ac:dyDescent="0.3">
      <c r="A14" s="27"/>
      <c r="B14" s="27" t="s">
        <v>114</v>
      </c>
      <c r="C14" s="27">
        <f>SUM(C5:C13)</f>
        <v>248</v>
      </c>
      <c r="D14" s="27">
        <f>SUM(D5:D13)</f>
        <v>207</v>
      </c>
      <c r="E14" s="27">
        <f>SUM(E5:E13)</f>
        <v>188</v>
      </c>
      <c r="F14" s="27">
        <f>SUM(F5:F13)</f>
        <v>19</v>
      </c>
      <c r="G14" s="33">
        <f t="shared" si="0"/>
        <v>0.83467741935483875</v>
      </c>
      <c r="H14" s="33">
        <f t="shared" si="1"/>
        <v>0.90821256038647347</v>
      </c>
    </row>
    <row r="16" spans="1:8" x14ac:dyDescent="0.3">
      <c r="A16" s="3" t="s">
        <v>115</v>
      </c>
      <c r="B16" s="3"/>
      <c r="C16" s="3"/>
      <c r="D16" s="3"/>
      <c r="E16" s="3"/>
      <c r="F16" s="3"/>
      <c r="G16" s="3"/>
      <c r="H16" s="3"/>
    </row>
    <row r="17" spans="1:8" x14ac:dyDescent="0.3">
      <c r="A17" s="3"/>
      <c r="B17" s="3"/>
      <c r="C17" s="3"/>
      <c r="D17" s="3"/>
      <c r="E17" s="3"/>
      <c r="F17" s="3"/>
      <c r="G17" s="3"/>
      <c r="H17" s="3"/>
    </row>
  </sheetData>
  <mergeCells count="3">
    <mergeCell ref="A1:H1"/>
    <mergeCell ref="A2:H2"/>
    <mergeCell ref="A16:H17"/>
  </mergeCells>
  <pageMargins left="0.75" right="0.75" top="1" bottom="1"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13"/>
  <sheetViews>
    <sheetView zoomScaleNormal="100" workbookViewId="0">
      <pane ySplit="4" topLeftCell="A5" activePane="bottomLeft" state="frozen"/>
      <selection pane="bottomLeft"/>
    </sheetView>
  </sheetViews>
  <sheetFormatPr defaultColWidth="8.6640625" defaultRowHeight="14.4" x14ac:dyDescent="0.3"/>
  <cols>
    <col min="1" max="1" width="6" customWidth="1"/>
    <col min="2" max="2" width="36" customWidth="1"/>
    <col min="3" max="3" width="12" customWidth="1"/>
    <col min="4" max="4" width="10" customWidth="1"/>
    <col min="5" max="5" width="12" customWidth="1"/>
    <col min="6" max="6" width="16" customWidth="1"/>
    <col min="7" max="7" width="11" customWidth="1"/>
    <col min="8" max="8" width="14" customWidth="1"/>
  </cols>
  <sheetData>
    <row r="1" spans="1:8" ht="25.5" customHeight="1" x14ac:dyDescent="0.3">
      <c r="A1" s="9" t="s">
        <v>116</v>
      </c>
      <c r="B1" s="9"/>
      <c r="C1" s="9"/>
      <c r="D1" s="9"/>
      <c r="E1" s="9"/>
      <c r="F1" s="9"/>
      <c r="G1" s="9"/>
      <c r="H1" s="9"/>
    </row>
    <row r="2" spans="1:8" ht="15" customHeight="1" x14ac:dyDescent="0.3">
      <c r="A2" s="8" t="s">
        <v>49</v>
      </c>
      <c r="B2" s="8"/>
      <c r="C2" s="8"/>
      <c r="D2" s="8"/>
      <c r="E2" s="8"/>
      <c r="F2" s="8"/>
      <c r="G2" s="8"/>
      <c r="H2" s="8"/>
    </row>
    <row r="4" spans="1:8" ht="27.6" x14ac:dyDescent="0.3">
      <c r="A4" s="10" t="s">
        <v>51</v>
      </c>
      <c r="B4" s="10" t="s">
        <v>103</v>
      </c>
      <c r="C4" s="10" t="s">
        <v>4</v>
      </c>
      <c r="D4" s="10" t="s">
        <v>53</v>
      </c>
      <c r="E4" s="10" t="s">
        <v>73</v>
      </c>
      <c r="F4" s="10" t="s">
        <v>117</v>
      </c>
      <c r="G4" s="10" t="s">
        <v>83</v>
      </c>
      <c r="H4" s="10" t="s">
        <v>57</v>
      </c>
    </row>
    <row r="5" spans="1:8" x14ac:dyDescent="0.3">
      <c r="A5" s="12">
        <v>1</v>
      </c>
      <c r="B5" s="32" t="s">
        <v>118</v>
      </c>
      <c r="C5" s="12">
        <v>28</v>
      </c>
      <c r="D5" s="12">
        <v>24</v>
      </c>
      <c r="E5" s="12">
        <v>21</v>
      </c>
      <c r="F5" s="12">
        <v>3</v>
      </c>
      <c r="G5" s="13">
        <f t="shared" ref="G5:H10" si="0">IF(C5=0,0,D5/C5)</f>
        <v>0.8571428571428571</v>
      </c>
      <c r="H5" s="13">
        <f t="shared" si="0"/>
        <v>0.875</v>
      </c>
    </row>
    <row r="6" spans="1:8" x14ac:dyDescent="0.3">
      <c r="A6" s="12">
        <v>2</v>
      </c>
      <c r="B6" s="32" t="s">
        <v>119</v>
      </c>
      <c r="C6" s="12">
        <v>35</v>
      </c>
      <c r="D6" s="12">
        <v>30</v>
      </c>
      <c r="E6" s="12">
        <v>28</v>
      </c>
      <c r="F6" s="12">
        <v>2</v>
      </c>
      <c r="G6" s="13">
        <f t="shared" si="0"/>
        <v>0.8571428571428571</v>
      </c>
      <c r="H6" s="13">
        <f t="shared" si="0"/>
        <v>0.93333333333333335</v>
      </c>
    </row>
    <row r="7" spans="1:8" x14ac:dyDescent="0.3">
      <c r="A7" s="12">
        <v>3</v>
      </c>
      <c r="B7" s="32" t="s">
        <v>120</v>
      </c>
      <c r="C7" s="12">
        <v>18</v>
      </c>
      <c r="D7" s="12">
        <v>15</v>
      </c>
      <c r="E7" s="12">
        <v>14</v>
      </c>
      <c r="F7" s="12">
        <v>1</v>
      </c>
      <c r="G7" s="13">
        <f t="shared" si="0"/>
        <v>0.83333333333333337</v>
      </c>
      <c r="H7" s="13">
        <f t="shared" si="0"/>
        <v>0.93333333333333335</v>
      </c>
    </row>
    <row r="8" spans="1:8" x14ac:dyDescent="0.3">
      <c r="A8" s="12">
        <v>4</v>
      </c>
      <c r="B8" s="32" t="s">
        <v>121</v>
      </c>
      <c r="C8" s="12">
        <v>8</v>
      </c>
      <c r="D8" s="12">
        <v>6</v>
      </c>
      <c r="E8" s="12">
        <v>5</v>
      </c>
      <c r="F8" s="12">
        <v>1</v>
      </c>
      <c r="G8" s="13">
        <f t="shared" si="0"/>
        <v>0.75</v>
      </c>
      <c r="H8" s="13">
        <f t="shared" si="0"/>
        <v>0.83333333333333337</v>
      </c>
    </row>
    <row r="9" spans="1:8" x14ac:dyDescent="0.3">
      <c r="A9" s="12">
        <v>5</v>
      </c>
      <c r="B9" s="32" t="s">
        <v>122</v>
      </c>
      <c r="C9" s="12">
        <v>6</v>
      </c>
      <c r="D9" s="12">
        <v>5</v>
      </c>
      <c r="E9" s="12">
        <v>4</v>
      </c>
      <c r="F9" s="12">
        <v>1</v>
      </c>
      <c r="G9" s="13">
        <f t="shared" si="0"/>
        <v>0.83333333333333337</v>
      </c>
      <c r="H9" s="13">
        <f t="shared" si="0"/>
        <v>0.8</v>
      </c>
    </row>
    <row r="10" spans="1:8" x14ac:dyDescent="0.3">
      <c r="A10" s="27"/>
      <c r="B10" s="27" t="s">
        <v>123</v>
      </c>
      <c r="C10" s="27">
        <f>SUM(C5:C9)</f>
        <v>95</v>
      </c>
      <c r="D10" s="27">
        <f>SUM(D5:D9)</f>
        <v>80</v>
      </c>
      <c r="E10" s="27">
        <f>SUM(E5:E9)</f>
        <v>72</v>
      </c>
      <c r="F10" s="27">
        <f>SUM(F5:F9)</f>
        <v>8</v>
      </c>
      <c r="G10" s="33">
        <f t="shared" si="0"/>
        <v>0.84210526315789469</v>
      </c>
      <c r="H10" s="33">
        <f t="shared" si="0"/>
        <v>0.9</v>
      </c>
    </row>
    <row r="12" spans="1:8" x14ac:dyDescent="0.3">
      <c r="A12" s="3" t="s">
        <v>124</v>
      </c>
      <c r="B12" s="3"/>
      <c r="C12" s="3"/>
      <c r="D12" s="3"/>
      <c r="E12" s="3"/>
      <c r="F12" s="3"/>
      <c r="G12" s="3"/>
      <c r="H12" s="3"/>
    </row>
    <row r="13" spans="1:8" x14ac:dyDescent="0.3">
      <c r="A13" s="3"/>
      <c r="B13" s="3"/>
      <c r="C13" s="3"/>
      <c r="D13" s="3"/>
      <c r="E13" s="3"/>
      <c r="F13" s="3"/>
      <c r="G13" s="3"/>
      <c r="H13" s="3"/>
    </row>
  </sheetData>
  <mergeCells count="3">
    <mergeCell ref="A1:H1"/>
    <mergeCell ref="A2:H2"/>
    <mergeCell ref="A12:H13"/>
  </mergeCells>
  <pageMargins left="0.75" right="0.75" top="1" bottom="1"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21"/>
  <sheetViews>
    <sheetView zoomScaleNormal="100" workbookViewId="0">
      <pane ySplit="4" topLeftCell="A5" activePane="bottomLeft" state="frozen"/>
      <selection pane="bottomLeft"/>
    </sheetView>
  </sheetViews>
  <sheetFormatPr defaultColWidth="8.6640625" defaultRowHeight="14.4" x14ac:dyDescent="0.3"/>
  <cols>
    <col min="1" max="1" width="6" customWidth="1"/>
    <col min="2" max="2" width="30" customWidth="1"/>
    <col min="3" max="5" width="12" customWidth="1"/>
    <col min="6" max="6" width="10" customWidth="1"/>
    <col min="7" max="7" width="12" customWidth="1"/>
    <col min="8" max="8" width="18" customWidth="1"/>
  </cols>
  <sheetData>
    <row r="1" spans="1:8" ht="25.5" customHeight="1" x14ac:dyDescent="0.3">
      <c r="A1" s="9" t="s">
        <v>125</v>
      </c>
      <c r="B1" s="9"/>
      <c r="C1" s="9"/>
      <c r="D1" s="9"/>
      <c r="E1" s="9"/>
      <c r="F1" s="9"/>
      <c r="G1" s="9"/>
      <c r="H1" s="9"/>
    </row>
    <row r="2" spans="1:8" ht="15" customHeight="1" x14ac:dyDescent="0.3">
      <c r="A2" s="8" t="s">
        <v>126</v>
      </c>
      <c r="B2" s="8"/>
      <c r="C2" s="8"/>
      <c r="D2" s="8"/>
      <c r="E2" s="8"/>
      <c r="F2" s="8"/>
      <c r="G2" s="8"/>
      <c r="H2" s="8"/>
    </row>
    <row r="4" spans="1:8" ht="15" customHeight="1" x14ac:dyDescent="0.3">
      <c r="A4" s="7" t="s">
        <v>127</v>
      </c>
      <c r="B4" s="7"/>
      <c r="C4" s="7"/>
      <c r="D4" s="7"/>
      <c r="E4" s="7"/>
      <c r="F4" s="7"/>
      <c r="G4" s="7"/>
      <c r="H4" s="7"/>
    </row>
    <row r="5" spans="1:8" ht="27.6" x14ac:dyDescent="0.3">
      <c r="A5" s="10" t="s">
        <v>51</v>
      </c>
      <c r="B5" s="10" t="s">
        <v>128</v>
      </c>
      <c r="C5" s="10" t="s">
        <v>4</v>
      </c>
      <c r="D5" s="10" t="s">
        <v>53</v>
      </c>
      <c r="E5" s="10" t="s">
        <v>58</v>
      </c>
      <c r="F5" s="10" t="s">
        <v>83</v>
      </c>
      <c r="G5" s="10" t="s">
        <v>129</v>
      </c>
      <c r="H5" s="10" t="s">
        <v>130</v>
      </c>
    </row>
    <row r="6" spans="1:8" x14ac:dyDescent="0.3">
      <c r="A6" s="12">
        <v>1</v>
      </c>
      <c r="B6" s="32" t="s">
        <v>131</v>
      </c>
      <c r="C6" s="36">
        <v>180000</v>
      </c>
      <c r="D6" s="36">
        <v>152000</v>
      </c>
      <c r="E6" s="36">
        <f>C6-D6</f>
        <v>28000</v>
      </c>
      <c r="F6" s="13">
        <f>IF(C6=0,0,D6/C6)</f>
        <v>0.84444444444444444</v>
      </c>
      <c r="G6" s="36">
        <v>95000</v>
      </c>
      <c r="H6" s="36">
        <v>57000</v>
      </c>
    </row>
    <row r="7" spans="1:8" x14ac:dyDescent="0.3">
      <c r="A7" s="12">
        <v>2</v>
      </c>
      <c r="B7" s="32" t="s">
        <v>132</v>
      </c>
      <c r="C7" s="36">
        <v>25000</v>
      </c>
      <c r="D7" s="36">
        <v>21000</v>
      </c>
      <c r="E7" s="36">
        <f>C7-D7</f>
        <v>4000</v>
      </c>
      <c r="F7" s="13">
        <f>IF(C7=0,0,D7/C7)</f>
        <v>0.84</v>
      </c>
      <c r="G7" s="36">
        <v>14000</v>
      </c>
      <c r="H7" s="36">
        <v>7000</v>
      </c>
    </row>
    <row r="8" spans="1:8" x14ac:dyDescent="0.3">
      <c r="A8" s="12">
        <v>3</v>
      </c>
      <c r="B8" s="32" t="s">
        <v>133</v>
      </c>
      <c r="C8" s="36">
        <v>45000</v>
      </c>
      <c r="D8" s="36">
        <v>38000</v>
      </c>
      <c r="E8" s="36">
        <f>C8-D8</f>
        <v>7000</v>
      </c>
      <c r="F8" s="13">
        <f>IF(C8=0,0,D8/C8)</f>
        <v>0.84444444444444444</v>
      </c>
      <c r="G8" s="36">
        <v>25000</v>
      </c>
      <c r="H8" s="36">
        <v>13000</v>
      </c>
    </row>
    <row r="9" spans="1:8" x14ac:dyDescent="0.3">
      <c r="A9" s="12">
        <v>4</v>
      </c>
      <c r="B9" s="32" t="s">
        <v>134</v>
      </c>
      <c r="C9" s="36">
        <v>18000</v>
      </c>
      <c r="D9" s="36">
        <v>14500</v>
      </c>
      <c r="E9" s="36">
        <f>C9-D9</f>
        <v>3500</v>
      </c>
      <c r="F9" s="13">
        <f>IF(C9=0,0,D9/C9)</f>
        <v>0.80555555555555558</v>
      </c>
      <c r="G9" s="36">
        <v>9000</v>
      </c>
      <c r="H9" s="36">
        <v>5500</v>
      </c>
    </row>
    <row r="11" spans="1:8" ht="15" customHeight="1" x14ac:dyDescent="0.3">
      <c r="A11" s="7" t="s">
        <v>135</v>
      </c>
      <c r="B11" s="7"/>
      <c r="C11" s="7"/>
      <c r="D11" s="7"/>
      <c r="E11" s="7"/>
      <c r="F11" s="7"/>
      <c r="G11" s="7"/>
      <c r="H11" s="7"/>
    </row>
    <row r="12" spans="1:8" ht="27.6" x14ac:dyDescent="0.3">
      <c r="A12" s="10" t="s">
        <v>51</v>
      </c>
      <c r="B12" s="10" t="s">
        <v>128</v>
      </c>
      <c r="C12" s="10" t="s">
        <v>4</v>
      </c>
      <c r="D12" s="10" t="s">
        <v>53</v>
      </c>
      <c r="E12" s="10" t="s">
        <v>58</v>
      </c>
      <c r="F12" s="10" t="s">
        <v>83</v>
      </c>
      <c r="G12" s="10" t="s">
        <v>129</v>
      </c>
      <c r="H12" s="10" t="s">
        <v>130</v>
      </c>
    </row>
    <row r="13" spans="1:8" x14ac:dyDescent="0.3">
      <c r="A13" s="12">
        <v>1</v>
      </c>
      <c r="B13" s="32" t="s">
        <v>136</v>
      </c>
      <c r="C13" s="36">
        <v>420</v>
      </c>
      <c r="D13" s="36">
        <v>360</v>
      </c>
      <c r="E13" s="36">
        <f t="shared" ref="E13:E18" si="0">C13-D13</f>
        <v>60</v>
      </c>
      <c r="F13" s="13">
        <f t="shared" ref="F13:F18" si="1">IF(C13=0,0,D13/C13)</f>
        <v>0.8571428571428571</v>
      </c>
      <c r="G13" s="36">
        <v>220</v>
      </c>
      <c r="H13" s="36">
        <v>140</v>
      </c>
    </row>
    <row r="14" spans="1:8" x14ac:dyDescent="0.3">
      <c r="A14" s="12">
        <v>2</v>
      </c>
      <c r="B14" s="32" t="s">
        <v>137</v>
      </c>
      <c r="C14" s="36">
        <v>800</v>
      </c>
      <c r="D14" s="36">
        <v>680</v>
      </c>
      <c r="E14" s="36">
        <f t="shared" si="0"/>
        <v>120</v>
      </c>
      <c r="F14" s="13">
        <f t="shared" si="1"/>
        <v>0.85</v>
      </c>
      <c r="G14" s="36">
        <v>400</v>
      </c>
      <c r="H14" s="36">
        <v>280</v>
      </c>
    </row>
    <row r="15" spans="1:8" x14ac:dyDescent="0.3">
      <c r="A15" s="12">
        <v>3</v>
      </c>
      <c r="B15" s="32" t="s">
        <v>138</v>
      </c>
      <c r="C15" s="36">
        <v>650</v>
      </c>
      <c r="D15" s="36">
        <v>520</v>
      </c>
      <c r="E15" s="36">
        <f t="shared" si="0"/>
        <v>130</v>
      </c>
      <c r="F15" s="13">
        <f t="shared" si="1"/>
        <v>0.8</v>
      </c>
      <c r="G15" s="36">
        <v>300</v>
      </c>
      <c r="H15" s="36">
        <v>220</v>
      </c>
    </row>
    <row r="16" spans="1:8" x14ac:dyDescent="0.3">
      <c r="A16" s="12">
        <v>4</v>
      </c>
      <c r="B16" s="32" t="s">
        <v>139</v>
      </c>
      <c r="C16" s="36">
        <v>36</v>
      </c>
      <c r="D16" s="36">
        <v>28</v>
      </c>
      <c r="E16" s="36">
        <f t="shared" si="0"/>
        <v>8</v>
      </c>
      <c r="F16" s="13">
        <f t="shared" si="1"/>
        <v>0.77777777777777779</v>
      </c>
      <c r="G16" s="36">
        <v>16</v>
      </c>
      <c r="H16" s="36">
        <v>12</v>
      </c>
    </row>
    <row r="17" spans="1:8" x14ac:dyDescent="0.3">
      <c r="A17" s="12">
        <v>5</v>
      </c>
      <c r="B17" s="32" t="s">
        <v>140</v>
      </c>
      <c r="C17" s="36">
        <v>1200</v>
      </c>
      <c r="D17" s="36">
        <v>980</v>
      </c>
      <c r="E17" s="36">
        <f t="shared" si="0"/>
        <v>220</v>
      </c>
      <c r="F17" s="13">
        <f t="shared" si="1"/>
        <v>0.81666666666666665</v>
      </c>
      <c r="G17" s="36">
        <v>600</v>
      </c>
      <c r="H17" s="36">
        <v>380</v>
      </c>
    </row>
    <row r="18" spans="1:8" x14ac:dyDescent="0.3">
      <c r="A18" s="12">
        <v>6</v>
      </c>
      <c r="B18" s="32" t="s">
        <v>141</v>
      </c>
      <c r="C18" s="36">
        <v>450</v>
      </c>
      <c r="D18" s="36">
        <v>380</v>
      </c>
      <c r="E18" s="36">
        <f t="shared" si="0"/>
        <v>70</v>
      </c>
      <c r="F18" s="13">
        <f t="shared" si="1"/>
        <v>0.84444444444444444</v>
      </c>
      <c r="G18" s="36">
        <v>250</v>
      </c>
      <c r="H18" s="36">
        <v>130</v>
      </c>
    </row>
    <row r="20" spans="1:8" ht="15" customHeight="1" x14ac:dyDescent="0.3">
      <c r="A20" s="2" t="s">
        <v>142</v>
      </c>
      <c r="B20" s="2"/>
      <c r="C20" s="2"/>
      <c r="D20" s="2"/>
      <c r="E20" s="2"/>
      <c r="F20" s="2"/>
      <c r="G20" s="2"/>
      <c r="H20" s="2"/>
    </row>
    <row r="21" spans="1:8" x14ac:dyDescent="0.3">
      <c r="A21" s="2"/>
      <c r="B21" s="2"/>
      <c r="C21" s="2"/>
      <c r="D21" s="2"/>
      <c r="E21" s="2"/>
      <c r="F21" s="2"/>
      <c r="G21" s="2"/>
      <c r="H21" s="2"/>
    </row>
  </sheetData>
  <mergeCells count="5">
    <mergeCell ref="A1:H1"/>
    <mergeCell ref="A2:H2"/>
    <mergeCell ref="A4:H4"/>
    <mergeCell ref="A11:H11"/>
    <mergeCell ref="A20:H21"/>
  </mergeCells>
  <pageMargins left="0.75" right="0.75" top="1" bottom="1" header="0.511811023622047" footer="0.511811023622047"/>
  <pageSetup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F12"/>
  <sheetViews>
    <sheetView tabSelected="1" zoomScaleNormal="100" workbookViewId="0">
      <pane ySplit="4" topLeftCell="A5" activePane="bottomLeft" state="frozen"/>
      <selection pane="bottomLeft" activeCell="C8" sqref="C8"/>
    </sheetView>
  </sheetViews>
  <sheetFormatPr defaultColWidth="8.6640625" defaultRowHeight="14.4" x14ac:dyDescent="0.3"/>
  <cols>
    <col min="1" max="1" width="6" customWidth="1"/>
    <col min="2" max="2" width="38" customWidth="1"/>
    <col min="3" max="4" width="20" customWidth="1"/>
    <col min="5" max="5" width="18" customWidth="1"/>
    <col min="6" max="6" width="40" customWidth="1"/>
  </cols>
  <sheetData>
    <row r="1" spans="1:6" ht="25.5" customHeight="1" x14ac:dyDescent="0.3">
      <c r="A1" s="9" t="s">
        <v>143</v>
      </c>
      <c r="B1" s="9"/>
      <c r="C1" s="9"/>
      <c r="D1" s="9"/>
      <c r="E1" s="9"/>
      <c r="F1" s="9"/>
    </row>
    <row r="2" spans="1:6" ht="15" customHeight="1" x14ac:dyDescent="0.3">
      <c r="A2" s="8" t="s">
        <v>144</v>
      </c>
      <c r="B2" s="8"/>
      <c r="C2" s="8"/>
      <c r="D2" s="8"/>
      <c r="E2" s="8"/>
      <c r="F2" s="8"/>
    </row>
    <row r="4" spans="1:6" ht="27.6" x14ac:dyDescent="0.3">
      <c r="A4" s="10" t="s">
        <v>51</v>
      </c>
      <c r="B4" s="10" t="s">
        <v>19</v>
      </c>
      <c r="C4" s="10" t="s">
        <v>145</v>
      </c>
      <c r="D4" s="10" t="s">
        <v>146</v>
      </c>
      <c r="E4" s="10" t="s">
        <v>147</v>
      </c>
      <c r="F4" s="10" t="s">
        <v>23</v>
      </c>
    </row>
    <row r="5" spans="1:6" x14ac:dyDescent="0.3">
      <c r="A5" s="12">
        <v>1</v>
      </c>
      <c r="B5" s="32" t="s">
        <v>148</v>
      </c>
      <c r="C5" s="36">
        <v>1850</v>
      </c>
      <c r="D5" s="36">
        <v>22000</v>
      </c>
      <c r="E5" s="36">
        <f>D5-C5</f>
        <v>20150</v>
      </c>
      <c r="F5" s="32" t="s">
        <v>149</v>
      </c>
    </row>
    <row r="6" spans="1:6" x14ac:dyDescent="0.3">
      <c r="A6" s="12">
        <v>2</v>
      </c>
      <c r="B6" s="32" t="s">
        <v>150</v>
      </c>
      <c r="C6" s="36">
        <v>1250</v>
      </c>
      <c r="D6" s="36">
        <v>15000</v>
      </c>
      <c r="E6" s="36">
        <f>D6-C6</f>
        <v>13750</v>
      </c>
      <c r="F6" s="32" t="s">
        <v>151</v>
      </c>
    </row>
    <row r="7" spans="1:6" x14ac:dyDescent="0.3">
      <c r="A7" s="12">
        <v>3</v>
      </c>
      <c r="B7" s="32" t="s">
        <v>152</v>
      </c>
      <c r="C7" s="36">
        <v>820</v>
      </c>
      <c r="D7" s="36">
        <v>10000</v>
      </c>
      <c r="E7" s="36">
        <f>D7-C7</f>
        <v>9180</v>
      </c>
      <c r="F7" s="32" t="s">
        <v>153</v>
      </c>
    </row>
    <row r="8" spans="1:6" x14ac:dyDescent="0.3">
      <c r="A8" s="27"/>
      <c r="B8" s="27" t="s">
        <v>154</v>
      </c>
      <c r="C8" s="37">
        <f>SUM(C5:C7)</f>
        <v>3920</v>
      </c>
      <c r="D8" s="37">
        <f>SUM(D5:D7)</f>
        <v>47000</v>
      </c>
      <c r="E8" s="37">
        <f>D8-C8</f>
        <v>43080</v>
      </c>
      <c r="F8" s="27"/>
    </row>
    <row r="10" spans="1:6" ht="15" customHeight="1" x14ac:dyDescent="0.3">
      <c r="A10" s="5" t="s">
        <v>155</v>
      </c>
      <c r="B10" s="5"/>
      <c r="C10" s="5"/>
      <c r="D10" s="5"/>
      <c r="E10" s="5"/>
      <c r="F10" s="5"/>
    </row>
    <row r="11" spans="1:6" x14ac:dyDescent="0.3">
      <c r="A11" s="5"/>
      <c r="B11" s="5"/>
      <c r="C11" s="5"/>
      <c r="D11" s="5"/>
      <c r="E11" s="5"/>
      <c r="F11" s="5"/>
    </row>
    <row r="12" spans="1:6" x14ac:dyDescent="0.3">
      <c r="A12" s="5"/>
      <c r="B12" s="5"/>
      <c r="C12" s="5"/>
      <c r="D12" s="5"/>
      <c r="E12" s="5"/>
      <c r="F12" s="5"/>
    </row>
  </sheetData>
  <mergeCells count="3">
    <mergeCell ref="A1:F1"/>
    <mergeCell ref="A2:F2"/>
    <mergeCell ref="A10:F12"/>
  </mergeCells>
  <pageMargins left="0.75" right="0.75" top="1" bottom="1" header="0.511811023622047" footer="0.511811023622047"/>
  <pageSetup fitToHeight="0"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11"/>
  <sheetViews>
    <sheetView zoomScaleNormal="100" workbookViewId="0">
      <pane ySplit="4" topLeftCell="A5" activePane="bottomLeft" state="frozen"/>
      <selection pane="bottomLeft" sqref="A1:G1"/>
    </sheetView>
  </sheetViews>
  <sheetFormatPr defaultColWidth="8.6640625" defaultRowHeight="14.4" x14ac:dyDescent="0.3"/>
  <cols>
    <col min="1" max="1" width="6" customWidth="1"/>
    <col min="2" max="2" width="28" customWidth="1"/>
    <col min="3" max="3" width="14" customWidth="1"/>
    <col min="4" max="4" width="16" customWidth="1"/>
    <col min="5" max="5" width="18" customWidth="1"/>
    <col min="6" max="6" width="28" customWidth="1"/>
    <col min="7" max="7" width="32" customWidth="1"/>
  </cols>
  <sheetData>
    <row r="1" spans="1:7" ht="25.5" customHeight="1" x14ac:dyDescent="0.3">
      <c r="A1" s="9" t="s">
        <v>156</v>
      </c>
      <c r="B1" s="9"/>
      <c r="C1" s="9"/>
      <c r="D1" s="9"/>
      <c r="E1" s="9"/>
      <c r="F1" s="9"/>
      <c r="G1" s="9"/>
    </row>
    <row r="2" spans="1:7" ht="15" customHeight="1" x14ac:dyDescent="0.3">
      <c r="A2" s="8" t="s">
        <v>49</v>
      </c>
      <c r="B2" s="8"/>
      <c r="C2" s="8"/>
      <c r="D2" s="8"/>
      <c r="E2" s="8"/>
      <c r="F2" s="8"/>
      <c r="G2" s="8"/>
    </row>
    <row r="4" spans="1:7" ht="27.6" x14ac:dyDescent="0.3">
      <c r="A4" s="10" t="s">
        <v>51</v>
      </c>
      <c r="B4" s="10" t="s">
        <v>19</v>
      </c>
      <c r="C4" s="10" t="s">
        <v>157</v>
      </c>
      <c r="D4" s="10" t="s">
        <v>158</v>
      </c>
      <c r="E4" s="10" t="s">
        <v>159</v>
      </c>
      <c r="F4" s="10" t="s">
        <v>160</v>
      </c>
      <c r="G4" s="10" t="s">
        <v>23</v>
      </c>
    </row>
    <row r="5" spans="1:7" x14ac:dyDescent="0.3">
      <c r="A5" s="38">
        <v>1</v>
      </c>
      <c r="B5" s="39" t="s">
        <v>161</v>
      </c>
      <c r="C5" s="38">
        <v>3</v>
      </c>
      <c r="D5" s="38" t="s">
        <v>162</v>
      </c>
      <c r="E5" s="40">
        <v>1250000</v>
      </c>
      <c r="F5" s="39" t="s">
        <v>163</v>
      </c>
      <c r="G5" s="39" t="s">
        <v>164</v>
      </c>
    </row>
    <row r="6" spans="1:7" ht="28.8" x14ac:dyDescent="0.3">
      <c r="A6" s="41">
        <v>2</v>
      </c>
      <c r="B6" s="42" t="s">
        <v>165</v>
      </c>
      <c r="C6" s="41">
        <v>7</v>
      </c>
      <c r="D6" s="41" t="s">
        <v>166</v>
      </c>
      <c r="E6" s="43">
        <v>185000</v>
      </c>
      <c r="F6" s="42" t="s">
        <v>167</v>
      </c>
      <c r="G6" s="42" t="s">
        <v>168</v>
      </c>
    </row>
    <row r="7" spans="1:7" x14ac:dyDescent="0.3">
      <c r="A7" s="44">
        <v>3</v>
      </c>
      <c r="B7" s="45" t="s">
        <v>169</v>
      </c>
      <c r="C7" s="44">
        <v>12</v>
      </c>
      <c r="D7" s="44" t="s">
        <v>170</v>
      </c>
      <c r="E7" s="46">
        <v>45000</v>
      </c>
      <c r="F7" s="45" t="s">
        <v>171</v>
      </c>
      <c r="G7" s="45" t="s">
        <v>172</v>
      </c>
    </row>
    <row r="8" spans="1:7" x14ac:dyDescent="0.3">
      <c r="A8" s="27"/>
      <c r="B8" s="27" t="s">
        <v>173</v>
      </c>
      <c r="C8" s="27">
        <f>SUM(C5:C7)</f>
        <v>22</v>
      </c>
      <c r="D8" s="27"/>
      <c r="E8" s="37">
        <f>SUM(E5:E7)</f>
        <v>1480000</v>
      </c>
      <c r="F8" s="27"/>
      <c r="G8" s="27"/>
    </row>
    <row r="10" spans="1:7" x14ac:dyDescent="0.3">
      <c r="A10" s="3" t="s">
        <v>174</v>
      </c>
      <c r="B10" s="3"/>
      <c r="C10" s="3"/>
      <c r="D10" s="3"/>
      <c r="E10" s="3"/>
      <c r="F10" s="3"/>
      <c r="G10" s="3"/>
    </row>
    <row r="11" spans="1:7" x14ac:dyDescent="0.3">
      <c r="A11" s="3"/>
      <c r="B11" s="3"/>
      <c r="C11" s="3"/>
      <c r="D11" s="3"/>
      <c r="E11" s="3"/>
      <c r="F11" s="3"/>
      <c r="G11" s="3"/>
    </row>
  </sheetData>
  <mergeCells count="3">
    <mergeCell ref="A1:G1"/>
    <mergeCell ref="A2:G2"/>
    <mergeCell ref="A10:G11"/>
  </mergeCells>
  <pageMargins left="0.75" right="0.75" top="1" bottom="1" header="0.511811023622047" footer="0.511811023622047"/>
  <pageSetup fitToHeight="0"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G17"/>
  <sheetViews>
    <sheetView zoomScaleNormal="100" workbookViewId="0">
      <pane ySplit="4" topLeftCell="A5" activePane="bottomLeft" state="frozen"/>
      <selection pane="bottomLeft" activeCell="B5" sqref="B5"/>
    </sheetView>
  </sheetViews>
  <sheetFormatPr defaultColWidth="8.6640625" defaultRowHeight="14.4" x14ac:dyDescent="0.3"/>
  <cols>
    <col min="1" max="1" width="6" customWidth="1"/>
    <col min="2" max="2" width="42" customWidth="1"/>
    <col min="3" max="3" width="12" customWidth="1"/>
    <col min="4" max="4" width="16" customWidth="1"/>
    <col min="5" max="5" width="22" customWidth="1"/>
    <col min="6" max="6" width="18" customWidth="1"/>
    <col min="7" max="7" width="32" customWidth="1"/>
  </cols>
  <sheetData>
    <row r="1" spans="1:7" ht="25.5" customHeight="1" x14ac:dyDescent="0.3">
      <c r="A1" s="9" t="s">
        <v>175</v>
      </c>
      <c r="B1" s="9"/>
      <c r="C1" s="9"/>
      <c r="D1" s="9"/>
      <c r="E1" s="9"/>
      <c r="F1" s="9"/>
      <c r="G1" s="9"/>
    </row>
    <row r="2" spans="1:7" ht="15" customHeight="1" x14ac:dyDescent="0.3">
      <c r="A2" s="8" t="s">
        <v>49</v>
      </c>
      <c r="B2" s="8"/>
      <c r="C2" s="8"/>
      <c r="D2" s="8"/>
      <c r="E2" s="8"/>
      <c r="F2" s="8"/>
      <c r="G2" s="8"/>
    </row>
    <row r="4" spans="1:7" x14ac:dyDescent="0.3">
      <c r="A4" s="10" t="s">
        <v>51</v>
      </c>
      <c r="B4" s="10" t="s">
        <v>176</v>
      </c>
      <c r="C4" s="10" t="s">
        <v>177</v>
      </c>
      <c r="D4" s="10" t="s">
        <v>178</v>
      </c>
      <c r="E4" s="10" t="s">
        <v>179</v>
      </c>
      <c r="F4" s="10" t="s">
        <v>180</v>
      </c>
      <c r="G4" s="10" t="s">
        <v>181</v>
      </c>
    </row>
    <row r="5" spans="1:7" x14ac:dyDescent="0.3">
      <c r="A5" s="12">
        <v>1</v>
      </c>
      <c r="B5" s="32" t="s">
        <v>182</v>
      </c>
      <c r="C5" s="12" t="s">
        <v>183</v>
      </c>
      <c r="D5" s="12" t="s">
        <v>184</v>
      </c>
      <c r="E5" s="32" t="s">
        <v>185</v>
      </c>
      <c r="F5" s="32" t="s">
        <v>186</v>
      </c>
      <c r="G5" s="32" t="s">
        <v>187</v>
      </c>
    </row>
    <row r="6" spans="1:7" x14ac:dyDescent="0.3">
      <c r="A6" s="47">
        <v>2</v>
      </c>
      <c r="B6" s="48" t="s">
        <v>188</v>
      </c>
      <c r="C6" s="47" t="s">
        <v>189</v>
      </c>
      <c r="D6" s="47" t="s">
        <v>190</v>
      </c>
      <c r="E6" s="48" t="s">
        <v>191</v>
      </c>
      <c r="F6" s="48" t="s">
        <v>192</v>
      </c>
      <c r="G6" s="48" t="s">
        <v>193</v>
      </c>
    </row>
    <row r="7" spans="1:7" x14ac:dyDescent="0.3">
      <c r="A7" s="12">
        <v>3</v>
      </c>
      <c r="B7" s="32" t="s">
        <v>194</v>
      </c>
      <c r="C7" s="12" t="s">
        <v>195</v>
      </c>
      <c r="D7" s="12" t="s">
        <v>196</v>
      </c>
      <c r="E7" s="32" t="s">
        <v>197</v>
      </c>
      <c r="F7" s="32" t="s">
        <v>198</v>
      </c>
      <c r="G7" s="32" t="s">
        <v>199</v>
      </c>
    </row>
    <row r="8" spans="1:7" x14ac:dyDescent="0.3">
      <c r="A8" s="12">
        <v>4</v>
      </c>
      <c r="B8" s="32" t="s">
        <v>200</v>
      </c>
      <c r="C8" s="12" t="s">
        <v>201</v>
      </c>
      <c r="D8" s="12" t="s">
        <v>202</v>
      </c>
      <c r="E8" s="32" t="s">
        <v>203</v>
      </c>
      <c r="F8" s="32" t="s">
        <v>204</v>
      </c>
      <c r="G8" s="32" t="s">
        <v>205</v>
      </c>
    </row>
    <row r="9" spans="1:7" x14ac:dyDescent="0.3">
      <c r="A9" s="12">
        <v>5</v>
      </c>
      <c r="B9" s="32" t="s">
        <v>206</v>
      </c>
      <c r="C9" s="12" t="s">
        <v>207</v>
      </c>
      <c r="D9" s="12" t="s">
        <v>208</v>
      </c>
      <c r="E9" s="32" t="s">
        <v>209</v>
      </c>
      <c r="F9" s="32" t="s">
        <v>210</v>
      </c>
      <c r="G9" s="32" t="s">
        <v>211</v>
      </c>
    </row>
    <row r="10" spans="1:7" x14ac:dyDescent="0.3">
      <c r="A10" s="41">
        <v>6</v>
      </c>
      <c r="B10" s="42" t="s">
        <v>212</v>
      </c>
      <c r="C10" s="41" t="s">
        <v>213</v>
      </c>
      <c r="D10" s="41" t="s">
        <v>214</v>
      </c>
      <c r="E10" s="42" t="s">
        <v>215</v>
      </c>
      <c r="F10" s="42" t="s">
        <v>216</v>
      </c>
      <c r="G10" s="42" t="s">
        <v>217</v>
      </c>
    </row>
    <row r="11" spans="1:7" ht="28.8" x14ac:dyDescent="0.3">
      <c r="A11" s="47">
        <v>7</v>
      </c>
      <c r="B11" s="48" t="s">
        <v>218</v>
      </c>
      <c r="C11" s="47" t="s">
        <v>189</v>
      </c>
      <c r="D11" s="47" t="s">
        <v>219</v>
      </c>
      <c r="E11" s="48" t="s">
        <v>220</v>
      </c>
      <c r="F11" s="48" t="s">
        <v>221</v>
      </c>
      <c r="G11" s="48" t="s">
        <v>222</v>
      </c>
    </row>
    <row r="12" spans="1:7" x14ac:dyDescent="0.3">
      <c r="A12" s="12">
        <v>8</v>
      </c>
      <c r="B12" s="32" t="s">
        <v>223</v>
      </c>
      <c r="C12" s="12" t="s">
        <v>224</v>
      </c>
      <c r="D12" s="12" t="s">
        <v>225</v>
      </c>
      <c r="E12" s="32" t="s">
        <v>226</v>
      </c>
      <c r="F12" s="32" t="s">
        <v>227</v>
      </c>
      <c r="G12" s="32" t="s">
        <v>228</v>
      </c>
    </row>
    <row r="13" spans="1:7" ht="28.8" x14ac:dyDescent="0.3">
      <c r="A13" s="41">
        <v>9</v>
      </c>
      <c r="B13" s="42" t="s">
        <v>229</v>
      </c>
      <c r="C13" s="41" t="s">
        <v>213</v>
      </c>
      <c r="D13" s="41" t="s">
        <v>230</v>
      </c>
      <c r="E13" s="42" t="s">
        <v>231</v>
      </c>
      <c r="F13" s="42" t="s">
        <v>232</v>
      </c>
      <c r="G13" s="42" t="s">
        <v>233</v>
      </c>
    </row>
    <row r="14" spans="1:7" x14ac:dyDescent="0.3">
      <c r="A14" s="12">
        <v>10</v>
      </c>
      <c r="B14" s="32" t="s">
        <v>234</v>
      </c>
      <c r="C14" s="12" t="s">
        <v>183</v>
      </c>
      <c r="D14" s="12" t="s">
        <v>235</v>
      </c>
      <c r="E14" s="32" t="s">
        <v>236</v>
      </c>
      <c r="F14" s="32" t="s">
        <v>237</v>
      </c>
      <c r="G14" s="32" t="s">
        <v>238</v>
      </c>
    </row>
    <row r="16" spans="1:7" x14ac:dyDescent="0.3">
      <c r="A16" s="3" t="s">
        <v>239</v>
      </c>
      <c r="B16" s="3"/>
      <c r="C16" s="3"/>
      <c r="D16" s="3"/>
      <c r="E16" s="3"/>
      <c r="F16" s="3"/>
      <c r="G16" s="3"/>
    </row>
    <row r="17" spans="1:7" x14ac:dyDescent="0.3">
      <c r="A17" s="3"/>
      <c r="B17" s="3"/>
      <c r="C17" s="3"/>
      <c r="D17" s="3"/>
      <c r="E17" s="3"/>
      <c r="F17" s="3"/>
      <c r="G17" s="3"/>
    </row>
  </sheetData>
  <mergeCells count="3">
    <mergeCell ref="A1:G1"/>
    <mergeCell ref="A2:G2"/>
    <mergeCell ref="A16:G17"/>
  </mergeCells>
  <pageMargins left="0.75" right="0.75" top="1" bottom="1" header="0.511811023622047" footer="0.511811023622047"/>
  <pageSetup fitToHeight="0" orientation="landscape"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J15"/>
  <sheetViews>
    <sheetView zoomScaleNormal="100" workbookViewId="0">
      <pane ySplit="4" topLeftCell="A5" activePane="bottomLeft" state="frozen"/>
      <selection pane="bottomLeft"/>
    </sheetView>
  </sheetViews>
  <sheetFormatPr defaultColWidth="8.6640625" defaultRowHeight="14.4" x14ac:dyDescent="0.3"/>
  <cols>
    <col min="1" max="1" width="18" customWidth="1"/>
    <col min="2" max="2" width="12" customWidth="1"/>
    <col min="3" max="4" width="14" customWidth="1"/>
    <col min="5" max="6" width="16" customWidth="1"/>
    <col min="7" max="7" width="22" customWidth="1"/>
    <col min="8" max="8" width="16" customWidth="1"/>
    <col min="9" max="9" width="28" customWidth="1"/>
  </cols>
  <sheetData>
    <row r="1" spans="1:10" ht="25.5" customHeight="1" x14ac:dyDescent="0.3">
      <c r="A1" s="9" t="s">
        <v>240</v>
      </c>
      <c r="B1" s="9"/>
      <c r="C1" s="9"/>
      <c r="D1" s="9"/>
      <c r="E1" s="9"/>
      <c r="F1" s="9"/>
      <c r="G1" s="9"/>
      <c r="H1" s="9"/>
      <c r="I1" s="9"/>
      <c r="J1" s="9"/>
    </row>
    <row r="2" spans="1:10" ht="15" customHeight="1" x14ac:dyDescent="0.3">
      <c r="A2" s="8" t="s">
        <v>49</v>
      </c>
      <c r="B2" s="8"/>
      <c r="C2" s="8"/>
      <c r="D2" s="8"/>
      <c r="E2" s="8"/>
      <c r="F2" s="8"/>
      <c r="G2" s="8"/>
      <c r="H2" s="8"/>
      <c r="I2" s="8"/>
      <c r="J2" s="8"/>
    </row>
    <row r="4" spans="1:10" ht="27.6" x14ac:dyDescent="0.3">
      <c r="A4" s="10" t="s">
        <v>241</v>
      </c>
      <c r="B4" s="10" t="s">
        <v>242</v>
      </c>
      <c r="C4" s="10" t="s">
        <v>243</v>
      </c>
      <c r="D4" s="10" t="s">
        <v>244</v>
      </c>
      <c r="E4" s="10" t="s">
        <v>245</v>
      </c>
      <c r="F4" s="10" t="s">
        <v>246</v>
      </c>
      <c r="G4" s="10" t="s">
        <v>247</v>
      </c>
      <c r="H4" s="10" t="s">
        <v>248</v>
      </c>
      <c r="I4" s="10" t="s">
        <v>23</v>
      </c>
    </row>
    <row r="5" spans="1:10" x14ac:dyDescent="0.3">
      <c r="A5" s="11" t="s">
        <v>249</v>
      </c>
      <c r="B5" s="12">
        <v>210</v>
      </c>
      <c r="C5" s="12">
        <v>95</v>
      </c>
      <c r="D5" s="12">
        <v>40</v>
      </c>
      <c r="E5" s="44">
        <v>28</v>
      </c>
      <c r="F5" s="41">
        <v>15</v>
      </c>
      <c r="G5" s="32" t="s">
        <v>250</v>
      </c>
      <c r="H5" s="12" t="s">
        <v>251</v>
      </c>
      <c r="I5" s="32" t="s">
        <v>252</v>
      </c>
    </row>
    <row r="6" spans="1:10" x14ac:dyDescent="0.3">
      <c r="A6" s="11" t="s">
        <v>253</v>
      </c>
      <c r="B6" s="12">
        <v>85</v>
      </c>
      <c r="C6" s="12">
        <v>55</v>
      </c>
      <c r="D6" s="12">
        <v>38</v>
      </c>
      <c r="E6" s="44">
        <v>22</v>
      </c>
      <c r="F6" s="41">
        <v>12</v>
      </c>
      <c r="G6" s="32" t="s">
        <v>254</v>
      </c>
      <c r="H6" s="12" t="s">
        <v>255</v>
      </c>
      <c r="I6" s="32" t="s">
        <v>256</v>
      </c>
    </row>
    <row r="7" spans="1:10" x14ac:dyDescent="0.3">
      <c r="A7" s="11" t="s">
        <v>257</v>
      </c>
      <c r="B7" s="12">
        <v>72</v>
      </c>
      <c r="C7" s="12">
        <v>48</v>
      </c>
      <c r="D7" s="12">
        <v>35</v>
      </c>
      <c r="E7" s="44">
        <v>18</v>
      </c>
      <c r="F7" s="41">
        <v>10</v>
      </c>
      <c r="G7" s="32" t="s">
        <v>258</v>
      </c>
      <c r="H7" s="12" t="s">
        <v>259</v>
      </c>
      <c r="I7" s="32" t="s">
        <v>260</v>
      </c>
    </row>
    <row r="8" spans="1:10" ht="28.8" x14ac:dyDescent="0.3">
      <c r="A8" s="11" t="s">
        <v>261</v>
      </c>
      <c r="B8" s="12">
        <v>58</v>
      </c>
      <c r="C8" s="12">
        <v>42</v>
      </c>
      <c r="D8" s="12">
        <v>30</v>
      </c>
      <c r="E8" s="44">
        <v>14</v>
      </c>
      <c r="F8" s="41">
        <v>8</v>
      </c>
      <c r="G8" s="32" t="s">
        <v>262</v>
      </c>
      <c r="H8" s="12" t="s">
        <v>263</v>
      </c>
      <c r="I8" s="32" t="s">
        <v>264</v>
      </c>
    </row>
    <row r="9" spans="1:10" ht="26.4" x14ac:dyDescent="0.3">
      <c r="A9" s="11" t="s">
        <v>265</v>
      </c>
      <c r="B9" s="12">
        <v>28</v>
      </c>
      <c r="C9" s="12">
        <v>22</v>
      </c>
      <c r="D9" s="12">
        <v>18</v>
      </c>
      <c r="E9" s="44">
        <v>9</v>
      </c>
      <c r="F9" s="41">
        <v>5</v>
      </c>
      <c r="G9" s="32" t="s">
        <v>266</v>
      </c>
      <c r="H9" s="12" t="s">
        <v>267</v>
      </c>
      <c r="I9" s="32" t="s">
        <v>268</v>
      </c>
    </row>
    <row r="10" spans="1:10" x14ac:dyDescent="0.3">
      <c r="A10" s="11" t="s">
        <v>269</v>
      </c>
      <c r="B10" s="12">
        <v>18</v>
      </c>
      <c r="C10" s="12">
        <v>15</v>
      </c>
      <c r="D10" s="12">
        <v>12</v>
      </c>
      <c r="E10" s="44">
        <v>4</v>
      </c>
      <c r="F10" s="41">
        <v>2</v>
      </c>
      <c r="G10" s="32" t="s">
        <v>270</v>
      </c>
      <c r="H10" s="12" t="s">
        <v>271</v>
      </c>
      <c r="I10" s="32" t="s">
        <v>272</v>
      </c>
    </row>
    <row r="11" spans="1:10" x14ac:dyDescent="0.3">
      <c r="A11" s="27" t="s">
        <v>273</v>
      </c>
      <c r="B11" s="27">
        <f>SUM(B5:B10)</f>
        <v>471</v>
      </c>
      <c r="C11" s="27"/>
      <c r="D11" s="27"/>
      <c r="E11" s="27"/>
      <c r="F11" s="27"/>
      <c r="G11" s="27"/>
      <c r="H11" s="27"/>
      <c r="I11" s="27"/>
    </row>
    <row r="13" spans="1:10" ht="15" customHeight="1" x14ac:dyDescent="0.3">
      <c r="A13" s="5" t="s">
        <v>274</v>
      </c>
      <c r="B13" s="5"/>
      <c r="C13" s="5"/>
      <c r="D13" s="5"/>
      <c r="E13" s="5"/>
      <c r="F13" s="5"/>
      <c r="G13" s="5"/>
      <c r="H13" s="5"/>
      <c r="I13" s="5"/>
    </row>
    <row r="14" spans="1:10" x14ac:dyDescent="0.3">
      <c r="A14" s="5"/>
      <c r="B14" s="5"/>
      <c r="C14" s="5"/>
      <c r="D14" s="5"/>
      <c r="E14" s="5"/>
      <c r="F14" s="5"/>
      <c r="G14" s="5"/>
      <c r="H14" s="5"/>
      <c r="I14" s="5"/>
    </row>
    <row r="15" spans="1:10" x14ac:dyDescent="0.3">
      <c r="A15" s="5"/>
      <c r="B15" s="5"/>
      <c r="C15" s="5"/>
      <c r="D15" s="5"/>
      <c r="E15" s="5"/>
      <c r="F15" s="5"/>
      <c r="G15" s="5"/>
      <c r="H15" s="5"/>
      <c r="I15" s="5"/>
    </row>
  </sheetData>
  <mergeCells count="3">
    <mergeCell ref="A1:J1"/>
    <mergeCell ref="A2:J2"/>
    <mergeCell ref="A13:I15"/>
  </mergeCells>
  <pageMargins left="0.75" right="0.75" top="1" bottom="1" header="0.511811023622047" footer="0.511811023622047"/>
  <pageSetup fitToHeight="0" orientation="landscape"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H18"/>
  <sheetViews>
    <sheetView zoomScaleNormal="100" workbookViewId="0">
      <pane ySplit="4" topLeftCell="A5" activePane="bottomLeft" state="frozen"/>
      <selection pane="bottomLeft"/>
    </sheetView>
  </sheetViews>
  <sheetFormatPr defaultColWidth="8.6640625" defaultRowHeight="14.4" x14ac:dyDescent="0.3"/>
  <cols>
    <col min="1" max="1" width="6" customWidth="1"/>
    <col min="2" max="2" width="22" customWidth="1"/>
    <col min="3" max="3" width="28" customWidth="1"/>
    <col min="4" max="4" width="12" customWidth="1"/>
    <col min="5" max="5" width="14" customWidth="1"/>
    <col min="6" max="6" width="42" customWidth="1"/>
    <col min="7" max="7" width="12" customWidth="1"/>
    <col min="8" max="8" width="18" customWidth="1"/>
  </cols>
  <sheetData>
    <row r="1" spans="1:8" ht="25.5" customHeight="1" x14ac:dyDescent="0.3">
      <c r="A1" s="9" t="s">
        <v>275</v>
      </c>
      <c r="B1" s="9"/>
      <c r="C1" s="9"/>
      <c r="D1" s="9"/>
      <c r="E1" s="9"/>
      <c r="F1" s="9"/>
      <c r="G1" s="9"/>
      <c r="H1" s="9"/>
    </row>
    <row r="2" spans="1:8" ht="15" customHeight="1" x14ac:dyDescent="0.3">
      <c r="A2" s="8" t="s">
        <v>49</v>
      </c>
      <c r="B2" s="8"/>
      <c r="C2" s="8"/>
      <c r="D2" s="8"/>
      <c r="E2" s="8"/>
      <c r="F2" s="8"/>
      <c r="G2" s="8"/>
      <c r="H2" s="8"/>
    </row>
    <row r="4" spans="1:8" ht="27.6" x14ac:dyDescent="0.3">
      <c r="A4" s="10" t="s">
        <v>51</v>
      </c>
      <c r="B4" s="10" t="s">
        <v>276</v>
      </c>
      <c r="C4" s="10" t="s">
        <v>277</v>
      </c>
      <c r="D4" s="10" t="s">
        <v>278</v>
      </c>
      <c r="E4" s="10" t="s">
        <v>279</v>
      </c>
      <c r="F4" s="10" t="s">
        <v>280</v>
      </c>
      <c r="G4" s="10" t="s">
        <v>281</v>
      </c>
      <c r="H4" s="10" t="s">
        <v>23</v>
      </c>
    </row>
    <row r="5" spans="1:8" x14ac:dyDescent="0.3">
      <c r="A5" s="49">
        <v>1</v>
      </c>
      <c r="B5" s="50" t="s">
        <v>282</v>
      </c>
      <c r="C5" s="51" t="s">
        <v>283</v>
      </c>
      <c r="D5" s="49" t="s">
        <v>284</v>
      </c>
      <c r="E5" s="49" t="s">
        <v>285</v>
      </c>
      <c r="F5" s="51" t="s">
        <v>286</v>
      </c>
      <c r="G5" s="49" t="s">
        <v>287</v>
      </c>
      <c r="H5" s="51" t="s">
        <v>288</v>
      </c>
    </row>
    <row r="6" spans="1:8" ht="28.8" x14ac:dyDescent="0.3">
      <c r="A6" s="49">
        <v>2</v>
      </c>
      <c r="B6" s="50" t="s">
        <v>289</v>
      </c>
      <c r="C6" s="51" t="s">
        <v>290</v>
      </c>
      <c r="D6" s="49" t="s">
        <v>291</v>
      </c>
      <c r="E6" s="49" t="s">
        <v>292</v>
      </c>
      <c r="F6" s="51" t="s">
        <v>293</v>
      </c>
      <c r="G6" s="49" t="s">
        <v>294</v>
      </c>
      <c r="H6" s="51" t="s">
        <v>295</v>
      </c>
    </row>
    <row r="7" spans="1:8" x14ac:dyDescent="0.3">
      <c r="A7" s="12">
        <v>3</v>
      </c>
      <c r="B7" s="11" t="s">
        <v>296</v>
      </c>
      <c r="C7" s="32" t="s">
        <v>297</v>
      </c>
      <c r="D7" s="12" t="s">
        <v>298</v>
      </c>
      <c r="E7" s="12" t="s">
        <v>299</v>
      </c>
      <c r="F7" s="32" t="s">
        <v>300</v>
      </c>
      <c r="G7" s="12" t="s">
        <v>301</v>
      </c>
      <c r="H7" s="32" t="s">
        <v>302</v>
      </c>
    </row>
    <row r="8" spans="1:8" x14ac:dyDescent="0.3">
      <c r="A8" s="12">
        <v>4</v>
      </c>
      <c r="B8" s="11" t="s">
        <v>303</v>
      </c>
      <c r="C8" s="32" t="s">
        <v>304</v>
      </c>
      <c r="D8" s="12" t="s">
        <v>305</v>
      </c>
      <c r="E8" s="12" t="s">
        <v>306</v>
      </c>
      <c r="F8" s="32" t="s">
        <v>307</v>
      </c>
      <c r="G8" s="12" t="s">
        <v>308</v>
      </c>
      <c r="H8" s="32" t="s">
        <v>309</v>
      </c>
    </row>
    <row r="9" spans="1:8" ht="26.4" x14ac:dyDescent="0.3">
      <c r="A9" s="12">
        <v>5</v>
      </c>
      <c r="B9" s="11" t="s">
        <v>310</v>
      </c>
      <c r="C9" s="32" t="s">
        <v>311</v>
      </c>
      <c r="D9" s="12" t="s">
        <v>312</v>
      </c>
      <c r="E9" s="12" t="s">
        <v>313</v>
      </c>
      <c r="F9" s="32" t="s">
        <v>314</v>
      </c>
      <c r="G9" s="12" t="s">
        <v>315</v>
      </c>
      <c r="H9" s="32" t="s">
        <v>316</v>
      </c>
    </row>
    <row r="10" spans="1:8" x14ac:dyDescent="0.3">
      <c r="A10" s="12">
        <v>6</v>
      </c>
      <c r="B10" s="11" t="s">
        <v>317</v>
      </c>
      <c r="C10" s="32" t="s">
        <v>318</v>
      </c>
      <c r="D10" s="12" t="s">
        <v>319</v>
      </c>
      <c r="E10" s="12" t="s">
        <v>320</v>
      </c>
      <c r="F10" s="32" t="s">
        <v>321</v>
      </c>
      <c r="G10" s="12" t="s">
        <v>322</v>
      </c>
      <c r="H10" s="32" t="s">
        <v>323</v>
      </c>
    </row>
    <row r="11" spans="1:8" x14ac:dyDescent="0.3">
      <c r="A11" s="12">
        <v>7</v>
      </c>
      <c r="B11" s="11" t="s">
        <v>324</v>
      </c>
      <c r="C11" s="32" t="s">
        <v>325</v>
      </c>
      <c r="D11" s="12" t="s">
        <v>326</v>
      </c>
      <c r="E11" s="12" t="s">
        <v>327</v>
      </c>
      <c r="F11" s="32" t="s">
        <v>328</v>
      </c>
      <c r="G11" s="12" t="s">
        <v>329</v>
      </c>
      <c r="H11" s="32"/>
    </row>
    <row r="12" spans="1:8" x14ac:dyDescent="0.3">
      <c r="A12" s="12">
        <v>8</v>
      </c>
      <c r="B12" s="11" t="s">
        <v>330</v>
      </c>
      <c r="C12" s="32" t="s">
        <v>331</v>
      </c>
      <c r="D12" s="12" t="s">
        <v>332</v>
      </c>
      <c r="E12" s="12" t="s">
        <v>333</v>
      </c>
      <c r="F12" s="32" t="s">
        <v>334</v>
      </c>
      <c r="G12" s="12" t="s">
        <v>335</v>
      </c>
      <c r="H12" s="32"/>
    </row>
    <row r="13" spans="1:8" ht="26.4" x14ac:dyDescent="0.3">
      <c r="A13" s="12">
        <v>9</v>
      </c>
      <c r="B13" s="11" t="s">
        <v>336</v>
      </c>
      <c r="C13" s="32" t="s">
        <v>337</v>
      </c>
      <c r="D13" s="12" t="s">
        <v>338</v>
      </c>
      <c r="E13" s="12" t="s">
        <v>339</v>
      </c>
      <c r="F13" s="32" t="s">
        <v>340</v>
      </c>
      <c r="G13" s="12" t="s">
        <v>341</v>
      </c>
      <c r="H13" s="32" t="s">
        <v>342</v>
      </c>
    </row>
    <row r="14" spans="1:8" x14ac:dyDescent="0.3">
      <c r="A14" s="12">
        <v>10</v>
      </c>
      <c r="B14" s="11" t="s">
        <v>343</v>
      </c>
      <c r="C14" s="32" t="s">
        <v>344</v>
      </c>
      <c r="D14" s="12" t="s">
        <v>345</v>
      </c>
      <c r="E14" s="12" t="s">
        <v>346</v>
      </c>
      <c r="F14" s="32" t="s">
        <v>347</v>
      </c>
      <c r="G14" s="12" t="s">
        <v>348</v>
      </c>
      <c r="H14" s="32" t="s">
        <v>349</v>
      </c>
    </row>
    <row r="15" spans="1:8" x14ac:dyDescent="0.3">
      <c r="A15" s="12">
        <v>11</v>
      </c>
      <c r="B15" s="11" t="s">
        <v>350</v>
      </c>
      <c r="C15" s="32" t="s">
        <v>351</v>
      </c>
      <c r="D15" s="12" t="s">
        <v>352</v>
      </c>
      <c r="E15" s="12" t="s">
        <v>353</v>
      </c>
      <c r="F15" s="32" t="s">
        <v>354</v>
      </c>
      <c r="G15" s="12" t="s">
        <v>355</v>
      </c>
      <c r="H15" s="32" t="s">
        <v>356</v>
      </c>
    </row>
    <row r="17" spans="1:8" x14ac:dyDescent="0.3">
      <c r="A17" s="3" t="s">
        <v>357</v>
      </c>
      <c r="B17" s="3"/>
      <c r="C17" s="3"/>
      <c r="D17" s="3"/>
      <c r="E17" s="3"/>
      <c r="F17" s="3"/>
      <c r="G17" s="3"/>
      <c r="H17" s="3"/>
    </row>
    <row r="18" spans="1:8" x14ac:dyDescent="0.3">
      <c r="A18" s="3"/>
      <c r="B18" s="3"/>
      <c r="C18" s="3"/>
      <c r="D18" s="3"/>
      <c r="E18" s="3"/>
      <c r="F18" s="3"/>
      <c r="G18" s="3"/>
      <c r="H18" s="3"/>
    </row>
  </sheetData>
  <mergeCells count="3">
    <mergeCell ref="A1:H1"/>
    <mergeCell ref="A2:H2"/>
    <mergeCell ref="A17:H18"/>
  </mergeCells>
  <pageMargins left="0.75" right="0.75" top="1" bottom="1" header="0.511811023622047" footer="0.511811023622047"/>
  <pageSetup fitToHeight="0" orientation="landscape"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H29"/>
  <sheetViews>
    <sheetView zoomScaleNormal="100" workbookViewId="0">
      <pane ySplit="4" topLeftCell="A5" activePane="bottomLeft" state="frozen"/>
      <selection pane="bottomLeft"/>
    </sheetView>
  </sheetViews>
  <sheetFormatPr defaultColWidth="8.6640625" defaultRowHeight="14.4" x14ac:dyDescent="0.3"/>
  <cols>
    <col min="1" max="1" width="6" customWidth="1"/>
    <col min="2" max="2" width="26" customWidth="1"/>
    <col min="3" max="3" width="28" customWidth="1"/>
    <col min="4" max="6" width="12" customWidth="1"/>
    <col min="7" max="7" width="32" customWidth="1"/>
    <col min="8" max="8" width="18" customWidth="1"/>
  </cols>
  <sheetData>
    <row r="1" spans="1:8" ht="25.5" customHeight="1" x14ac:dyDescent="0.3">
      <c r="A1" s="9" t="s">
        <v>358</v>
      </c>
      <c r="B1" s="9"/>
      <c r="C1" s="9"/>
      <c r="D1" s="9"/>
      <c r="E1" s="9"/>
      <c r="F1" s="9"/>
      <c r="G1" s="9"/>
      <c r="H1" s="9"/>
    </row>
    <row r="2" spans="1:8" ht="15" customHeight="1" x14ac:dyDescent="0.3">
      <c r="A2" s="8" t="s">
        <v>49</v>
      </c>
      <c r="B2" s="8"/>
      <c r="C2" s="8"/>
      <c r="D2" s="8"/>
      <c r="E2" s="8"/>
      <c r="F2" s="8"/>
      <c r="G2" s="8"/>
      <c r="H2" s="8"/>
    </row>
    <row r="4" spans="1:8" ht="27.6" x14ac:dyDescent="0.3">
      <c r="A4" s="10" t="s">
        <v>51</v>
      </c>
      <c r="B4" s="10" t="s">
        <v>276</v>
      </c>
      <c r="C4" s="10" t="s">
        <v>277</v>
      </c>
      <c r="D4" s="10" t="s">
        <v>278</v>
      </c>
      <c r="E4" s="10" t="s">
        <v>359</v>
      </c>
      <c r="F4" s="10" t="s">
        <v>360</v>
      </c>
      <c r="G4" s="10" t="s">
        <v>361</v>
      </c>
      <c r="H4" s="10" t="s">
        <v>23</v>
      </c>
    </row>
    <row r="5" spans="1:8" x14ac:dyDescent="0.3">
      <c r="A5" s="49">
        <v>1</v>
      </c>
      <c r="B5" s="50" t="s">
        <v>362</v>
      </c>
      <c r="C5" s="51" t="s">
        <v>363</v>
      </c>
      <c r="D5" s="49" t="s">
        <v>364</v>
      </c>
      <c r="E5" s="51" t="s">
        <v>365</v>
      </c>
      <c r="F5" s="49" t="s">
        <v>366</v>
      </c>
      <c r="G5" s="51" t="s">
        <v>367</v>
      </c>
      <c r="H5" s="51" t="s">
        <v>368</v>
      </c>
    </row>
    <row r="6" spans="1:8" x14ac:dyDescent="0.3">
      <c r="A6" s="12">
        <v>2</v>
      </c>
      <c r="B6" s="11" t="s">
        <v>369</v>
      </c>
      <c r="C6" s="32" t="s">
        <v>370</v>
      </c>
      <c r="D6" s="12" t="s">
        <v>371</v>
      </c>
      <c r="E6" s="32" t="s">
        <v>372</v>
      </c>
      <c r="F6" s="12" t="s">
        <v>292</v>
      </c>
      <c r="G6" s="32" t="s">
        <v>373</v>
      </c>
      <c r="H6" s="32"/>
    </row>
    <row r="7" spans="1:8" x14ac:dyDescent="0.3">
      <c r="A7" s="49">
        <v>3</v>
      </c>
      <c r="B7" s="50" t="s">
        <v>374</v>
      </c>
      <c r="C7" s="51" t="s">
        <v>375</v>
      </c>
      <c r="D7" s="49" t="s">
        <v>376</v>
      </c>
      <c r="E7" s="51" t="s">
        <v>365</v>
      </c>
      <c r="F7" s="49" t="s">
        <v>320</v>
      </c>
      <c r="G7" s="51" t="s">
        <v>377</v>
      </c>
      <c r="H7" s="51" t="s">
        <v>378</v>
      </c>
    </row>
    <row r="8" spans="1:8" x14ac:dyDescent="0.3">
      <c r="A8" s="12">
        <v>4</v>
      </c>
      <c r="B8" s="11" t="s">
        <v>379</v>
      </c>
      <c r="C8" s="32" t="s">
        <v>380</v>
      </c>
      <c r="D8" s="12" t="s">
        <v>381</v>
      </c>
      <c r="E8" s="32" t="s">
        <v>382</v>
      </c>
      <c r="F8" s="12" t="s">
        <v>327</v>
      </c>
      <c r="G8" s="32" t="s">
        <v>383</v>
      </c>
      <c r="H8" s="32"/>
    </row>
    <row r="9" spans="1:8" x14ac:dyDescent="0.3">
      <c r="A9" s="12">
        <v>5</v>
      </c>
      <c r="B9" s="11" t="s">
        <v>384</v>
      </c>
      <c r="C9" s="32" t="s">
        <v>385</v>
      </c>
      <c r="D9" s="12" t="s">
        <v>386</v>
      </c>
      <c r="E9" s="32" t="s">
        <v>382</v>
      </c>
      <c r="F9" s="12" t="s">
        <v>387</v>
      </c>
      <c r="G9" s="32" t="s">
        <v>388</v>
      </c>
      <c r="H9" s="32"/>
    </row>
    <row r="10" spans="1:8" x14ac:dyDescent="0.3">
      <c r="A10" s="12">
        <v>6</v>
      </c>
      <c r="B10" s="11" t="s">
        <v>389</v>
      </c>
      <c r="C10" s="32" t="s">
        <v>390</v>
      </c>
      <c r="D10" s="12" t="s">
        <v>391</v>
      </c>
      <c r="E10" s="32" t="s">
        <v>365</v>
      </c>
      <c r="F10" s="12" t="s">
        <v>299</v>
      </c>
      <c r="G10" s="32" t="s">
        <v>392</v>
      </c>
      <c r="H10" s="32"/>
    </row>
    <row r="11" spans="1:8" x14ac:dyDescent="0.3">
      <c r="A11" s="12">
        <v>7</v>
      </c>
      <c r="B11" s="11" t="s">
        <v>393</v>
      </c>
      <c r="C11" s="32" t="s">
        <v>394</v>
      </c>
      <c r="D11" s="12" t="s">
        <v>395</v>
      </c>
      <c r="E11" s="32" t="s">
        <v>396</v>
      </c>
      <c r="F11" s="12" t="s">
        <v>397</v>
      </c>
      <c r="G11" s="32" t="s">
        <v>398</v>
      </c>
      <c r="H11" s="32"/>
    </row>
    <row r="12" spans="1:8" x14ac:dyDescent="0.3">
      <c r="A12" s="12">
        <v>8</v>
      </c>
      <c r="B12" s="11" t="s">
        <v>399</v>
      </c>
      <c r="C12" s="32" t="s">
        <v>400</v>
      </c>
      <c r="D12" s="12" t="s">
        <v>401</v>
      </c>
      <c r="E12" s="32" t="s">
        <v>365</v>
      </c>
      <c r="F12" s="12" t="s">
        <v>313</v>
      </c>
      <c r="G12" s="32" t="s">
        <v>402</v>
      </c>
      <c r="H12" s="32"/>
    </row>
    <row r="13" spans="1:8" x14ac:dyDescent="0.3">
      <c r="A13" s="12">
        <v>9</v>
      </c>
      <c r="B13" s="11" t="s">
        <v>403</v>
      </c>
      <c r="C13" s="32" t="s">
        <v>404</v>
      </c>
      <c r="D13" s="12" t="s">
        <v>405</v>
      </c>
      <c r="E13" s="32" t="s">
        <v>406</v>
      </c>
      <c r="F13" s="12" t="s">
        <v>339</v>
      </c>
      <c r="G13" s="32" t="s">
        <v>407</v>
      </c>
      <c r="H13" s="32"/>
    </row>
    <row r="14" spans="1:8" x14ac:dyDescent="0.3">
      <c r="A14" s="12">
        <v>10</v>
      </c>
      <c r="B14" s="11" t="s">
        <v>408</v>
      </c>
      <c r="C14" s="32" t="s">
        <v>409</v>
      </c>
      <c r="D14" s="12" t="s">
        <v>410</v>
      </c>
      <c r="E14" s="32" t="s">
        <v>309</v>
      </c>
      <c r="F14" s="12" t="s">
        <v>306</v>
      </c>
      <c r="G14" s="32" t="s">
        <v>411</v>
      </c>
      <c r="H14" s="32"/>
    </row>
    <row r="15" spans="1:8" x14ac:dyDescent="0.3">
      <c r="A15" s="12">
        <v>11</v>
      </c>
      <c r="B15" s="11" t="s">
        <v>412</v>
      </c>
      <c r="C15" s="32" t="s">
        <v>413</v>
      </c>
      <c r="D15" s="12" t="s">
        <v>414</v>
      </c>
      <c r="E15" s="32" t="s">
        <v>415</v>
      </c>
      <c r="F15" s="12" t="s">
        <v>285</v>
      </c>
      <c r="G15" s="32" t="s">
        <v>416</v>
      </c>
      <c r="H15" s="32"/>
    </row>
    <row r="16" spans="1:8" x14ac:dyDescent="0.3">
      <c r="A16" s="12">
        <v>12</v>
      </c>
      <c r="B16" s="11" t="s">
        <v>417</v>
      </c>
      <c r="C16" s="32" t="s">
        <v>418</v>
      </c>
      <c r="D16" s="12" t="s">
        <v>419</v>
      </c>
      <c r="E16" s="32" t="s">
        <v>420</v>
      </c>
      <c r="F16" s="12" t="s">
        <v>292</v>
      </c>
      <c r="G16" s="32" t="s">
        <v>416</v>
      </c>
      <c r="H16" s="32"/>
    </row>
    <row r="17" spans="1:8" x14ac:dyDescent="0.3">
      <c r="A17" s="12">
        <v>13</v>
      </c>
      <c r="B17" s="11" t="s">
        <v>421</v>
      </c>
      <c r="C17" s="32" t="s">
        <v>422</v>
      </c>
      <c r="D17" s="12" t="s">
        <v>423</v>
      </c>
      <c r="E17" s="32" t="s">
        <v>424</v>
      </c>
      <c r="F17" s="12" t="s">
        <v>299</v>
      </c>
      <c r="G17" s="32" t="s">
        <v>416</v>
      </c>
      <c r="H17" s="32"/>
    </row>
    <row r="18" spans="1:8" x14ac:dyDescent="0.3">
      <c r="A18" s="12">
        <v>14</v>
      </c>
      <c r="B18" s="11" t="s">
        <v>425</v>
      </c>
      <c r="C18" s="32" t="s">
        <v>426</v>
      </c>
      <c r="D18" s="12" t="s">
        <v>427</v>
      </c>
      <c r="E18" s="32" t="s">
        <v>428</v>
      </c>
      <c r="F18" s="12" t="s">
        <v>387</v>
      </c>
      <c r="G18" s="32" t="s">
        <v>429</v>
      </c>
      <c r="H18" s="32"/>
    </row>
    <row r="19" spans="1:8" x14ac:dyDescent="0.3">
      <c r="A19" s="12">
        <v>15</v>
      </c>
      <c r="B19" s="11" t="s">
        <v>430</v>
      </c>
      <c r="C19" s="32" t="s">
        <v>431</v>
      </c>
      <c r="D19" s="12" t="s">
        <v>432</v>
      </c>
      <c r="E19" s="32" t="s">
        <v>415</v>
      </c>
      <c r="F19" s="12" t="s">
        <v>333</v>
      </c>
      <c r="G19" s="32" t="s">
        <v>433</v>
      </c>
      <c r="H19" s="32"/>
    </row>
    <row r="20" spans="1:8" x14ac:dyDescent="0.3">
      <c r="A20" s="12">
        <v>16</v>
      </c>
      <c r="B20" s="11" t="s">
        <v>434</v>
      </c>
      <c r="C20" s="32" t="s">
        <v>435</v>
      </c>
      <c r="D20" s="12" t="s">
        <v>436</v>
      </c>
      <c r="E20" s="32" t="s">
        <v>420</v>
      </c>
      <c r="F20" s="12" t="s">
        <v>327</v>
      </c>
      <c r="G20" s="32" t="s">
        <v>433</v>
      </c>
      <c r="H20" s="32"/>
    </row>
    <row r="21" spans="1:8" x14ac:dyDescent="0.3">
      <c r="A21" s="12">
        <v>17</v>
      </c>
      <c r="B21" s="11" t="s">
        <v>437</v>
      </c>
      <c r="C21" s="32" t="s">
        <v>438</v>
      </c>
      <c r="D21" s="12" t="s">
        <v>439</v>
      </c>
      <c r="E21" s="32" t="s">
        <v>424</v>
      </c>
      <c r="F21" s="12" t="s">
        <v>346</v>
      </c>
      <c r="G21" s="32" t="s">
        <v>433</v>
      </c>
      <c r="H21" s="32"/>
    </row>
    <row r="22" spans="1:8" x14ac:dyDescent="0.3">
      <c r="A22" s="12">
        <v>18</v>
      </c>
      <c r="B22" s="11" t="s">
        <v>440</v>
      </c>
      <c r="C22" s="32" t="s">
        <v>441</v>
      </c>
      <c r="D22" s="12" t="s">
        <v>442</v>
      </c>
      <c r="E22" s="32" t="s">
        <v>428</v>
      </c>
      <c r="F22" s="12" t="s">
        <v>320</v>
      </c>
      <c r="G22" s="32" t="s">
        <v>443</v>
      </c>
      <c r="H22" s="32"/>
    </row>
    <row r="23" spans="1:8" x14ac:dyDescent="0.3">
      <c r="A23" s="49">
        <v>19</v>
      </c>
      <c r="B23" s="50" t="s">
        <v>444</v>
      </c>
      <c r="C23" s="51" t="s">
        <v>445</v>
      </c>
      <c r="D23" s="49" t="s">
        <v>446</v>
      </c>
      <c r="E23" s="51" t="s">
        <v>415</v>
      </c>
      <c r="F23" s="49" t="s">
        <v>447</v>
      </c>
      <c r="G23" s="51" t="s">
        <v>448</v>
      </c>
      <c r="H23" s="51" t="s">
        <v>449</v>
      </c>
    </row>
    <row r="24" spans="1:8" x14ac:dyDescent="0.3">
      <c r="A24" s="49">
        <v>20</v>
      </c>
      <c r="B24" s="50" t="s">
        <v>450</v>
      </c>
      <c r="C24" s="51" t="s">
        <v>451</v>
      </c>
      <c r="D24" s="49" t="s">
        <v>452</v>
      </c>
      <c r="E24" s="51" t="s">
        <v>420</v>
      </c>
      <c r="F24" s="49" t="s">
        <v>397</v>
      </c>
      <c r="G24" s="51" t="s">
        <v>448</v>
      </c>
      <c r="H24" s="51"/>
    </row>
    <row r="25" spans="1:8" x14ac:dyDescent="0.3">
      <c r="A25" s="49">
        <v>21</v>
      </c>
      <c r="B25" s="50" t="s">
        <v>453</v>
      </c>
      <c r="C25" s="51" t="s">
        <v>454</v>
      </c>
      <c r="D25" s="49" t="s">
        <v>455</v>
      </c>
      <c r="E25" s="51" t="s">
        <v>424</v>
      </c>
      <c r="F25" s="49" t="s">
        <v>333</v>
      </c>
      <c r="G25" s="51" t="s">
        <v>456</v>
      </c>
      <c r="H25" s="51" t="s">
        <v>457</v>
      </c>
    </row>
    <row r="26" spans="1:8" x14ac:dyDescent="0.3">
      <c r="A26" s="49">
        <v>22</v>
      </c>
      <c r="B26" s="50" t="s">
        <v>458</v>
      </c>
      <c r="C26" s="51" t="s">
        <v>459</v>
      </c>
      <c r="D26" s="49" t="s">
        <v>460</v>
      </c>
      <c r="E26" s="51" t="s">
        <v>428</v>
      </c>
      <c r="F26" s="49" t="s">
        <v>461</v>
      </c>
      <c r="G26" s="51" t="s">
        <v>462</v>
      </c>
      <c r="H26" s="51" t="s">
        <v>463</v>
      </c>
    </row>
    <row r="28" spans="1:8" x14ac:dyDescent="0.3">
      <c r="A28" s="3" t="s">
        <v>464</v>
      </c>
      <c r="B28" s="3"/>
      <c r="C28" s="3"/>
      <c r="D28" s="3"/>
      <c r="E28" s="3"/>
      <c r="F28" s="3"/>
      <c r="G28" s="3"/>
      <c r="H28" s="3"/>
    </row>
    <row r="29" spans="1:8" x14ac:dyDescent="0.3">
      <c r="A29" s="3"/>
      <c r="B29" s="3"/>
      <c r="C29" s="3"/>
      <c r="D29" s="3"/>
      <c r="E29" s="3"/>
      <c r="F29" s="3"/>
      <c r="G29" s="3"/>
      <c r="H29" s="3"/>
    </row>
  </sheetData>
  <mergeCells count="3">
    <mergeCell ref="A1:H1"/>
    <mergeCell ref="A2:H2"/>
    <mergeCell ref="A28:H29"/>
  </mergeCells>
  <pageMargins left="0.75" right="0.75" top="1" bottom="1" header="0.511811023622047" footer="0.511811023622047"/>
  <pageSetup fitToHeight="0" orientation="landscape"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L37"/>
  <sheetViews>
    <sheetView zoomScaleNormal="100" workbookViewId="0">
      <pane ySplit="4" topLeftCell="A5" activePane="bottomLeft" state="frozen"/>
      <selection pane="bottomLeft"/>
    </sheetView>
  </sheetViews>
  <sheetFormatPr defaultColWidth="8.6640625" defaultRowHeight="14.4" x14ac:dyDescent="0.3"/>
  <cols>
    <col min="1" max="1" width="6" customWidth="1"/>
    <col min="2" max="2" width="12" customWidth="1"/>
    <col min="3" max="3" width="8" customWidth="1"/>
    <col min="4" max="4" width="22" customWidth="1"/>
    <col min="5" max="5" width="10" customWidth="1"/>
    <col min="6" max="6" width="18" customWidth="1"/>
    <col min="7" max="7" width="14" customWidth="1"/>
    <col min="8" max="8" width="22" customWidth="1"/>
    <col min="9" max="9" width="10" customWidth="1"/>
    <col min="10" max="10" width="16" customWidth="1"/>
    <col min="11" max="11" width="14" customWidth="1"/>
    <col min="12" max="12" width="16" customWidth="1"/>
  </cols>
  <sheetData>
    <row r="1" spans="1:12" ht="25.5" customHeight="1" x14ac:dyDescent="0.3">
      <c r="A1" s="9" t="s">
        <v>465</v>
      </c>
      <c r="B1" s="9"/>
      <c r="C1" s="9"/>
      <c r="D1" s="9"/>
      <c r="E1" s="9"/>
      <c r="F1" s="9"/>
      <c r="G1" s="9"/>
      <c r="H1" s="9"/>
      <c r="I1" s="9"/>
      <c r="J1" s="9"/>
      <c r="K1" s="9"/>
      <c r="L1" s="9"/>
    </row>
    <row r="2" spans="1:12" ht="15" customHeight="1" x14ac:dyDescent="0.3">
      <c r="A2" s="8" t="s">
        <v>466</v>
      </c>
      <c r="B2" s="8"/>
      <c r="C2" s="8"/>
      <c r="D2" s="8"/>
      <c r="E2" s="8"/>
      <c r="F2" s="8"/>
      <c r="G2" s="8"/>
      <c r="H2" s="8"/>
      <c r="I2" s="8"/>
      <c r="J2" s="8"/>
      <c r="K2" s="8"/>
      <c r="L2" s="8"/>
    </row>
    <row r="4" spans="1:12" ht="27.6" x14ac:dyDescent="0.3">
      <c r="A4" s="10" t="s">
        <v>51</v>
      </c>
      <c r="B4" s="10" t="s">
        <v>278</v>
      </c>
      <c r="C4" s="10" t="s">
        <v>241</v>
      </c>
      <c r="D4" s="10" t="s">
        <v>467</v>
      </c>
      <c r="E4" s="10" t="s">
        <v>468</v>
      </c>
      <c r="F4" s="10" t="s">
        <v>469</v>
      </c>
      <c r="G4" s="10" t="s">
        <v>470</v>
      </c>
      <c r="H4" s="10" t="s">
        <v>471</v>
      </c>
      <c r="I4" s="10" t="s">
        <v>472</v>
      </c>
      <c r="J4" s="10" t="s">
        <v>473</v>
      </c>
      <c r="K4" s="10" t="s">
        <v>474</v>
      </c>
      <c r="L4" s="10" t="s">
        <v>23</v>
      </c>
    </row>
    <row r="5" spans="1:12" x14ac:dyDescent="0.3">
      <c r="A5" s="52">
        <v>1</v>
      </c>
      <c r="B5" s="52" t="s">
        <v>475</v>
      </c>
      <c r="C5" s="52" t="s">
        <v>476</v>
      </c>
      <c r="D5" s="53" t="s">
        <v>477</v>
      </c>
      <c r="E5" s="52" t="s">
        <v>424</v>
      </c>
      <c r="F5" s="53" t="s">
        <v>478</v>
      </c>
      <c r="G5" s="53" t="s">
        <v>479</v>
      </c>
      <c r="H5" s="53" t="s">
        <v>480</v>
      </c>
      <c r="I5" s="52">
        <v>13.9</v>
      </c>
      <c r="J5" s="53" t="s">
        <v>481</v>
      </c>
      <c r="K5" s="53" t="s">
        <v>481</v>
      </c>
      <c r="L5" s="53"/>
    </row>
    <row r="6" spans="1:12" x14ac:dyDescent="0.3">
      <c r="A6" s="52">
        <v>2</v>
      </c>
      <c r="B6" s="52" t="s">
        <v>482</v>
      </c>
      <c r="C6" s="52" t="s">
        <v>476</v>
      </c>
      <c r="D6" s="53" t="s">
        <v>483</v>
      </c>
      <c r="E6" s="52" t="s">
        <v>415</v>
      </c>
      <c r="F6" s="53" t="s">
        <v>484</v>
      </c>
      <c r="G6" s="53" t="s">
        <v>485</v>
      </c>
      <c r="H6" s="53" t="s">
        <v>486</v>
      </c>
      <c r="I6" s="52">
        <v>6.1</v>
      </c>
      <c r="J6" s="54" t="s">
        <v>487</v>
      </c>
      <c r="K6" s="53" t="s">
        <v>488</v>
      </c>
      <c r="L6" s="53" t="s">
        <v>489</v>
      </c>
    </row>
    <row r="7" spans="1:12" x14ac:dyDescent="0.3">
      <c r="A7" s="52">
        <v>3</v>
      </c>
      <c r="B7" s="52" t="s">
        <v>490</v>
      </c>
      <c r="C7" s="52" t="s">
        <v>476</v>
      </c>
      <c r="D7" s="53" t="s">
        <v>491</v>
      </c>
      <c r="E7" s="52" t="s">
        <v>372</v>
      </c>
      <c r="F7" s="53" t="s">
        <v>492</v>
      </c>
      <c r="G7" s="53" t="s">
        <v>479</v>
      </c>
      <c r="H7" s="53" t="s">
        <v>493</v>
      </c>
      <c r="I7" s="52">
        <v>11.6</v>
      </c>
      <c r="J7" s="54" t="s">
        <v>494</v>
      </c>
      <c r="K7" s="53" t="s">
        <v>488</v>
      </c>
      <c r="L7" s="53" t="s">
        <v>489</v>
      </c>
    </row>
    <row r="8" spans="1:12" x14ac:dyDescent="0.3">
      <c r="A8" s="52">
        <v>4</v>
      </c>
      <c r="B8" s="52" t="s">
        <v>495</v>
      </c>
      <c r="C8" s="52" t="s">
        <v>476</v>
      </c>
      <c r="D8" s="53" t="s">
        <v>496</v>
      </c>
      <c r="E8" s="52" t="s">
        <v>424</v>
      </c>
      <c r="F8" s="53" t="s">
        <v>497</v>
      </c>
      <c r="G8" s="53" t="s">
        <v>479</v>
      </c>
      <c r="H8" s="53" t="s">
        <v>486</v>
      </c>
      <c r="I8" s="52">
        <v>17.3</v>
      </c>
      <c r="J8" s="53" t="s">
        <v>481</v>
      </c>
      <c r="K8" s="53" t="s">
        <v>498</v>
      </c>
      <c r="L8" s="53"/>
    </row>
    <row r="9" spans="1:12" x14ac:dyDescent="0.3">
      <c r="A9" s="52">
        <v>5</v>
      </c>
      <c r="B9" s="52" t="s">
        <v>499</v>
      </c>
      <c r="C9" s="52" t="s">
        <v>476</v>
      </c>
      <c r="D9" s="53" t="s">
        <v>500</v>
      </c>
      <c r="E9" s="52" t="s">
        <v>424</v>
      </c>
      <c r="F9" s="53" t="s">
        <v>501</v>
      </c>
      <c r="G9" s="53" t="s">
        <v>502</v>
      </c>
      <c r="H9" s="53" t="s">
        <v>503</v>
      </c>
      <c r="I9" s="52">
        <v>15</v>
      </c>
      <c r="J9" s="53" t="s">
        <v>481</v>
      </c>
      <c r="K9" s="53" t="s">
        <v>504</v>
      </c>
      <c r="L9" s="53"/>
    </row>
    <row r="10" spans="1:12" x14ac:dyDescent="0.3">
      <c r="A10" s="52">
        <v>6</v>
      </c>
      <c r="B10" s="52" t="s">
        <v>505</v>
      </c>
      <c r="C10" s="52" t="s">
        <v>476</v>
      </c>
      <c r="D10" s="53" t="s">
        <v>506</v>
      </c>
      <c r="E10" s="52" t="s">
        <v>415</v>
      </c>
      <c r="F10" s="53" t="s">
        <v>507</v>
      </c>
      <c r="G10" s="53" t="s">
        <v>508</v>
      </c>
      <c r="H10" s="53" t="s">
        <v>509</v>
      </c>
      <c r="I10" s="52">
        <v>12.1</v>
      </c>
      <c r="J10" s="54" t="s">
        <v>494</v>
      </c>
      <c r="K10" s="53" t="s">
        <v>510</v>
      </c>
      <c r="L10" s="53" t="s">
        <v>489</v>
      </c>
    </row>
    <row r="11" spans="1:12" x14ac:dyDescent="0.3">
      <c r="A11" s="52">
        <v>7</v>
      </c>
      <c r="B11" s="52" t="s">
        <v>511</v>
      </c>
      <c r="C11" s="52" t="s">
        <v>476</v>
      </c>
      <c r="D11" s="53" t="s">
        <v>491</v>
      </c>
      <c r="E11" s="52" t="s">
        <v>415</v>
      </c>
      <c r="F11" s="53" t="s">
        <v>478</v>
      </c>
      <c r="G11" s="53" t="s">
        <v>508</v>
      </c>
      <c r="H11" s="53" t="s">
        <v>512</v>
      </c>
      <c r="I11" s="52">
        <v>15.8</v>
      </c>
      <c r="J11" s="54" t="s">
        <v>494</v>
      </c>
      <c r="K11" s="53" t="s">
        <v>498</v>
      </c>
      <c r="L11" s="53" t="s">
        <v>489</v>
      </c>
    </row>
    <row r="12" spans="1:12" x14ac:dyDescent="0.3">
      <c r="A12" s="52">
        <v>8</v>
      </c>
      <c r="B12" s="52" t="s">
        <v>513</v>
      </c>
      <c r="C12" s="52" t="s">
        <v>476</v>
      </c>
      <c r="D12" s="53" t="s">
        <v>514</v>
      </c>
      <c r="E12" s="52" t="s">
        <v>424</v>
      </c>
      <c r="F12" s="53" t="s">
        <v>515</v>
      </c>
      <c r="G12" s="53" t="s">
        <v>508</v>
      </c>
      <c r="H12" s="53" t="s">
        <v>516</v>
      </c>
      <c r="I12" s="52">
        <v>5.7</v>
      </c>
      <c r="J12" s="53" t="s">
        <v>481</v>
      </c>
      <c r="K12" s="53" t="s">
        <v>498</v>
      </c>
      <c r="L12" s="53"/>
    </row>
    <row r="13" spans="1:12" x14ac:dyDescent="0.3">
      <c r="A13" s="52">
        <v>9</v>
      </c>
      <c r="B13" s="52" t="s">
        <v>517</v>
      </c>
      <c r="C13" s="52" t="s">
        <v>476</v>
      </c>
      <c r="D13" s="53" t="s">
        <v>518</v>
      </c>
      <c r="E13" s="52" t="s">
        <v>420</v>
      </c>
      <c r="F13" s="53" t="s">
        <v>515</v>
      </c>
      <c r="G13" s="53" t="s">
        <v>519</v>
      </c>
      <c r="H13" s="53" t="s">
        <v>520</v>
      </c>
      <c r="I13" s="52">
        <v>6.7</v>
      </c>
      <c r="J13" s="53" t="s">
        <v>481</v>
      </c>
      <c r="K13" s="53" t="s">
        <v>481</v>
      </c>
      <c r="L13" s="53"/>
    </row>
    <row r="14" spans="1:12" x14ac:dyDescent="0.3">
      <c r="A14" s="52">
        <v>10</v>
      </c>
      <c r="B14" s="52" t="s">
        <v>521</v>
      </c>
      <c r="C14" s="52" t="s">
        <v>476</v>
      </c>
      <c r="D14" s="53" t="s">
        <v>522</v>
      </c>
      <c r="E14" s="52" t="s">
        <v>415</v>
      </c>
      <c r="F14" s="53" t="s">
        <v>478</v>
      </c>
      <c r="G14" s="53" t="s">
        <v>485</v>
      </c>
      <c r="H14" s="53" t="s">
        <v>516</v>
      </c>
      <c r="I14" s="52">
        <v>8.6999999999999993</v>
      </c>
      <c r="J14" s="53" t="s">
        <v>481</v>
      </c>
      <c r="K14" s="53" t="s">
        <v>523</v>
      </c>
      <c r="L14" s="53"/>
    </row>
    <row r="15" spans="1:12" x14ac:dyDescent="0.3">
      <c r="A15" s="52">
        <v>11</v>
      </c>
      <c r="B15" s="52" t="s">
        <v>524</v>
      </c>
      <c r="C15" s="52" t="s">
        <v>476</v>
      </c>
      <c r="D15" s="53" t="s">
        <v>525</v>
      </c>
      <c r="E15" s="52" t="s">
        <v>428</v>
      </c>
      <c r="F15" s="53" t="s">
        <v>526</v>
      </c>
      <c r="G15" s="53" t="s">
        <v>527</v>
      </c>
      <c r="H15" s="53" t="s">
        <v>493</v>
      </c>
      <c r="I15" s="52">
        <v>4.7</v>
      </c>
      <c r="J15" s="53" t="s">
        <v>481</v>
      </c>
      <c r="K15" s="53" t="s">
        <v>523</v>
      </c>
      <c r="L15" s="53"/>
    </row>
    <row r="16" spans="1:12" x14ac:dyDescent="0.3">
      <c r="A16" s="52">
        <v>12</v>
      </c>
      <c r="B16" s="52" t="s">
        <v>528</v>
      </c>
      <c r="C16" s="52" t="s">
        <v>476</v>
      </c>
      <c r="D16" s="53" t="s">
        <v>529</v>
      </c>
      <c r="E16" s="52" t="s">
        <v>372</v>
      </c>
      <c r="F16" s="53" t="s">
        <v>492</v>
      </c>
      <c r="G16" s="53" t="s">
        <v>502</v>
      </c>
      <c r="H16" s="53" t="s">
        <v>520</v>
      </c>
      <c r="I16" s="52">
        <v>8.1</v>
      </c>
      <c r="J16" s="53" t="s">
        <v>481</v>
      </c>
      <c r="K16" s="53" t="s">
        <v>481</v>
      </c>
      <c r="L16" s="53"/>
    </row>
    <row r="17" spans="1:12" x14ac:dyDescent="0.3">
      <c r="A17" s="52">
        <v>13</v>
      </c>
      <c r="B17" s="52" t="s">
        <v>530</v>
      </c>
      <c r="C17" s="52" t="s">
        <v>531</v>
      </c>
      <c r="D17" s="53" t="s">
        <v>532</v>
      </c>
      <c r="E17" s="52" t="s">
        <v>415</v>
      </c>
      <c r="F17" s="53" t="s">
        <v>533</v>
      </c>
      <c r="G17" s="53" t="s">
        <v>479</v>
      </c>
      <c r="H17" s="53" t="s">
        <v>509</v>
      </c>
      <c r="I17" s="52">
        <v>5</v>
      </c>
      <c r="J17" s="53" t="s">
        <v>481</v>
      </c>
      <c r="K17" s="53" t="s">
        <v>534</v>
      </c>
      <c r="L17" s="53"/>
    </row>
    <row r="18" spans="1:12" x14ac:dyDescent="0.3">
      <c r="A18" s="52">
        <v>14</v>
      </c>
      <c r="B18" s="52" t="s">
        <v>535</v>
      </c>
      <c r="C18" s="52" t="s">
        <v>531</v>
      </c>
      <c r="D18" s="53" t="s">
        <v>536</v>
      </c>
      <c r="E18" s="52" t="s">
        <v>372</v>
      </c>
      <c r="F18" s="53" t="s">
        <v>537</v>
      </c>
      <c r="G18" s="53" t="s">
        <v>502</v>
      </c>
      <c r="H18" s="53" t="s">
        <v>503</v>
      </c>
      <c r="I18" s="52">
        <v>17.600000000000001</v>
      </c>
      <c r="J18" s="54" t="s">
        <v>494</v>
      </c>
      <c r="K18" s="53" t="s">
        <v>488</v>
      </c>
      <c r="L18" s="53" t="s">
        <v>489</v>
      </c>
    </row>
    <row r="19" spans="1:12" x14ac:dyDescent="0.3">
      <c r="A19" s="52">
        <v>15</v>
      </c>
      <c r="B19" s="52" t="s">
        <v>538</v>
      </c>
      <c r="C19" s="52" t="s">
        <v>531</v>
      </c>
      <c r="D19" s="53" t="s">
        <v>539</v>
      </c>
      <c r="E19" s="52" t="s">
        <v>424</v>
      </c>
      <c r="F19" s="53" t="s">
        <v>540</v>
      </c>
      <c r="G19" s="53" t="s">
        <v>485</v>
      </c>
      <c r="H19" s="53" t="s">
        <v>503</v>
      </c>
      <c r="I19" s="52">
        <v>9.1999999999999993</v>
      </c>
      <c r="J19" s="53" t="s">
        <v>481</v>
      </c>
      <c r="K19" s="53" t="s">
        <v>488</v>
      </c>
      <c r="L19" s="53"/>
    </row>
    <row r="20" spans="1:12" x14ac:dyDescent="0.3">
      <c r="A20" s="52">
        <v>16</v>
      </c>
      <c r="B20" s="52" t="s">
        <v>541</v>
      </c>
      <c r="C20" s="52" t="s">
        <v>531</v>
      </c>
      <c r="D20" s="53" t="s">
        <v>542</v>
      </c>
      <c r="E20" s="52" t="s">
        <v>420</v>
      </c>
      <c r="F20" s="53" t="s">
        <v>543</v>
      </c>
      <c r="G20" s="53" t="s">
        <v>485</v>
      </c>
      <c r="H20" s="53" t="s">
        <v>509</v>
      </c>
      <c r="I20" s="52">
        <v>7.1</v>
      </c>
      <c r="J20" s="53" t="s">
        <v>481</v>
      </c>
      <c r="K20" s="53" t="s">
        <v>481</v>
      </c>
      <c r="L20" s="53"/>
    </row>
    <row r="21" spans="1:12" x14ac:dyDescent="0.3">
      <c r="A21" s="52">
        <v>17</v>
      </c>
      <c r="B21" s="52" t="s">
        <v>544</v>
      </c>
      <c r="C21" s="52" t="s">
        <v>531</v>
      </c>
      <c r="D21" s="53" t="s">
        <v>545</v>
      </c>
      <c r="E21" s="52" t="s">
        <v>420</v>
      </c>
      <c r="F21" s="53" t="s">
        <v>507</v>
      </c>
      <c r="G21" s="53" t="s">
        <v>502</v>
      </c>
      <c r="H21" s="53" t="s">
        <v>546</v>
      </c>
      <c r="I21" s="52">
        <v>11.8</v>
      </c>
      <c r="J21" s="53" t="s">
        <v>481</v>
      </c>
      <c r="K21" s="53" t="s">
        <v>488</v>
      </c>
      <c r="L21" s="53"/>
    </row>
    <row r="22" spans="1:12" x14ac:dyDescent="0.3">
      <c r="A22" s="52">
        <v>18</v>
      </c>
      <c r="B22" s="52" t="s">
        <v>547</v>
      </c>
      <c r="C22" s="52" t="s">
        <v>531</v>
      </c>
      <c r="D22" s="53" t="s">
        <v>548</v>
      </c>
      <c r="E22" s="52" t="s">
        <v>424</v>
      </c>
      <c r="F22" s="53" t="s">
        <v>478</v>
      </c>
      <c r="G22" s="53" t="s">
        <v>485</v>
      </c>
      <c r="H22" s="53" t="s">
        <v>486</v>
      </c>
      <c r="I22" s="52">
        <v>16.100000000000001</v>
      </c>
      <c r="J22" s="53" t="s">
        <v>481</v>
      </c>
      <c r="K22" s="53" t="s">
        <v>498</v>
      </c>
      <c r="L22" s="53"/>
    </row>
    <row r="23" spans="1:12" x14ac:dyDescent="0.3">
      <c r="A23" s="52">
        <v>19</v>
      </c>
      <c r="B23" s="52" t="s">
        <v>549</v>
      </c>
      <c r="C23" s="52" t="s">
        <v>550</v>
      </c>
      <c r="D23" s="53" t="s">
        <v>532</v>
      </c>
      <c r="E23" s="52" t="s">
        <v>372</v>
      </c>
      <c r="F23" s="53" t="s">
        <v>551</v>
      </c>
      <c r="G23" s="53" t="s">
        <v>479</v>
      </c>
      <c r="H23" s="53" t="s">
        <v>509</v>
      </c>
      <c r="I23" s="52">
        <v>9.9</v>
      </c>
      <c r="J23" s="54" t="s">
        <v>487</v>
      </c>
      <c r="K23" s="53" t="s">
        <v>552</v>
      </c>
      <c r="L23" s="53" t="s">
        <v>489</v>
      </c>
    </row>
    <row r="24" spans="1:12" x14ac:dyDescent="0.3">
      <c r="A24" s="52">
        <v>20</v>
      </c>
      <c r="B24" s="52" t="s">
        <v>553</v>
      </c>
      <c r="C24" s="52" t="s">
        <v>550</v>
      </c>
      <c r="D24" s="53" t="s">
        <v>542</v>
      </c>
      <c r="E24" s="52" t="s">
        <v>428</v>
      </c>
      <c r="F24" s="53" t="s">
        <v>554</v>
      </c>
      <c r="G24" s="53" t="s">
        <v>502</v>
      </c>
      <c r="H24" s="53" t="s">
        <v>555</v>
      </c>
      <c r="I24" s="52">
        <v>13.2</v>
      </c>
      <c r="J24" s="53" t="s">
        <v>481</v>
      </c>
      <c r="K24" s="53" t="s">
        <v>556</v>
      </c>
      <c r="L24" s="53"/>
    </row>
    <row r="25" spans="1:12" x14ac:dyDescent="0.3">
      <c r="A25" s="52">
        <v>21</v>
      </c>
      <c r="B25" s="52" t="s">
        <v>557</v>
      </c>
      <c r="C25" s="52" t="s">
        <v>550</v>
      </c>
      <c r="D25" s="53" t="s">
        <v>558</v>
      </c>
      <c r="E25" s="52" t="s">
        <v>424</v>
      </c>
      <c r="F25" s="53" t="s">
        <v>537</v>
      </c>
      <c r="G25" s="53" t="s">
        <v>502</v>
      </c>
      <c r="H25" s="53" t="s">
        <v>493</v>
      </c>
      <c r="I25" s="52">
        <v>4.4000000000000004</v>
      </c>
      <c r="J25" s="53" t="s">
        <v>481</v>
      </c>
      <c r="K25" s="53" t="s">
        <v>498</v>
      </c>
      <c r="L25" s="53"/>
    </row>
    <row r="26" spans="1:12" x14ac:dyDescent="0.3">
      <c r="A26" s="52">
        <v>22</v>
      </c>
      <c r="B26" s="52" t="s">
        <v>559</v>
      </c>
      <c r="C26" s="52" t="s">
        <v>550</v>
      </c>
      <c r="D26" s="53" t="s">
        <v>560</v>
      </c>
      <c r="E26" s="52" t="s">
        <v>372</v>
      </c>
      <c r="F26" s="53" t="s">
        <v>478</v>
      </c>
      <c r="G26" s="53" t="s">
        <v>502</v>
      </c>
      <c r="H26" s="53" t="s">
        <v>486</v>
      </c>
      <c r="I26" s="52">
        <v>2.6</v>
      </c>
      <c r="J26" s="53" t="s">
        <v>481</v>
      </c>
      <c r="K26" s="53" t="s">
        <v>488</v>
      </c>
      <c r="L26" s="53"/>
    </row>
    <row r="27" spans="1:12" x14ac:dyDescent="0.3">
      <c r="A27" s="52">
        <v>23</v>
      </c>
      <c r="B27" s="52" t="s">
        <v>561</v>
      </c>
      <c r="C27" s="52" t="s">
        <v>550</v>
      </c>
      <c r="D27" s="53" t="s">
        <v>562</v>
      </c>
      <c r="E27" s="52" t="s">
        <v>424</v>
      </c>
      <c r="F27" s="53" t="s">
        <v>563</v>
      </c>
      <c r="G27" s="53" t="s">
        <v>502</v>
      </c>
      <c r="H27" s="53" t="s">
        <v>486</v>
      </c>
      <c r="I27" s="52">
        <v>6.8</v>
      </c>
      <c r="J27" s="53" t="s">
        <v>481</v>
      </c>
      <c r="K27" s="53" t="s">
        <v>523</v>
      </c>
      <c r="L27" s="53"/>
    </row>
    <row r="28" spans="1:12" x14ac:dyDescent="0.3">
      <c r="A28" s="52">
        <v>24</v>
      </c>
      <c r="B28" s="52" t="s">
        <v>564</v>
      </c>
      <c r="C28" s="52" t="s">
        <v>565</v>
      </c>
      <c r="D28" s="53" t="s">
        <v>566</v>
      </c>
      <c r="E28" s="52" t="s">
        <v>372</v>
      </c>
      <c r="F28" s="53" t="s">
        <v>567</v>
      </c>
      <c r="G28" s="53" t="s">
        <v>519</v>
      </c>
      <c r="H28" s="53" t="s">
        <v>486</v>
      </c>
      <c r="I28" s="52">
        <v>14.7</v>
      </c>
      <c r="J28" s="54" t="s">
        <v>494</v>
      </c>
      <c r="K28" s="53" t="s">
        <v>534</v>
      </c>
      <c r="L28" s="53" t="s">
        <v>489</v>
      </c>
    </row>
    <row r="29" spans="1:12" x14ac:dyDescent="0.3">
      <c r="A29" s="52">
        <v>25</v>
      </c>
      <c r="B29" s="52" t="s">
        <v>568</v>
      </c>
      <c r="C29" s="52" t="s">
        <v>565</v>
      </c>
      <c r="D29" s="53" t="s">
        <v>569</v>
      </c>
      <c r="E29" s="52" t="s">
        <v>428</v>
      </c>
      <c r="F29" s="53" t="s">
        <v>501</v>
      </c>
      <c r="G29" s="53" t="s">
        <v>519</v>
      </c>
      <c r="H29" s="53" t="s">
        <v>520</v>
      </c>
      <c r="I29" s="52">
        <v>9.6999999999999993</v>
      </c>
      <c r="J29" s="53" t="s">
        <v>481</v>
      </c>
      <c r="K29" s="53" t="s">
        <v>488</v>
      </c>
      <c r="L29" s="53"/>
    </row>
    <row r="30" spans="1:12" x14ac:dyDescent="0.3">
      <c r="A30" s="52">
        <v>26</v>
      </c>
      <c r="B30" s="52" t="s">
        <v>570</v>
      </c>
      <c r="C30" s="52" t="s">
        <v>565</v>
      </c>
      <c r="D30" s="53" t="s">
        <v>571</v>
      </c>
      <c r="E30" s="52" t="s">
        <v>424</v>
      </c>
      <c r="F30" s="53" t="s">
        <v>533</v>
      </c>
      <c r="G30" s="53" t="s">
        <v>479</v>
      </c>
      <c r="H30" s="53" t="s">
        <v>486</v>
      </c>
      <c r="I30" s="52">
        <v>5.4</v>
      </c>
      <c r="J30" s="53" t="s">
        <v>481</v>
      </c>
      <c r="K30" s="53" t="s">
        <v>552</v>
      </c>
      <c r="L30" s="53"/>
    </row>
    <row r="31" spans="1:12" x14ac:dyDescent="0.3">
      <c r="A31" s="52">
        <v>27</v>
      </c>
      <c r="B31" s="52" t="s">
        <v>572</v>
      </c>
      <c r="C31" s="52" t="s">
        <v>565</v>
      </c>
      <c r="D31" s="53" t="s">
        <v>573</v>
      </c>
      <c r="E31" s="52" t="s">
        <v>428</v>
      </c>
      <c r="F31" s="53" t="s">
        <v>478</v>
      </c>
      <c r="G31" s="53" t="s">
        <v>485</v>
      </c>
      <c r="H31" s="53" t="s">
        <v>493</v>
      </c>
      <c r="I31" s="52">
        <v>15</v>
      </c>
      <c r="J31" s="54" t="s">
        <v>494</v>
      </c>
      <c r="K31" s="53" t="s">
        <v>481</v>
      </c>
      <c r="L31" s="53" t="s">
        <v>489</v>
      </c>
    </row>
    <row r="32" spans="1:12" x14ac:dyDescent="0.3">
      <c r="A32" s="52">
        <v>28</v>
      </c>
      <c r="B32" s="52" t="s">
        <v>574</v>
      </c>
      <c r="C32" s="52" t="s">
        <v>575</v>
      </c>
      <c r="D32" s="53" t="s">
        <v>571</v>
      </c>
      <c r="E32" s="52" t="s">
        <v>372</v>
      </c>
      <c r="F32" s="53" t="s">
        <v>484</v>
      </c>
      <c r="G32" s="53" t="s">
        <v>485</v>
      </c>
      <c r="H32" s="53" t="s">
        <v>486</v>
      </c>
      <c r="I32" s="52">
        <v>5.0999999999999996</v>
      </c>
      <c r="J32" s="53" t="s">
        <v>481</v>
      </c>
      <c r="K32" s="53" t="s">
        <v>504</v>
      </c>
      <c r="L32" s="53"/>
    </row>
    <row r="33" spans="1:12" x14ac:dyDescent="0.3">
      <c r="A33" s="52">
        <v>29</v>
      </c>
      <c r="B33" s="52" t="s">
        <v>576</v>
      </c>
      <c r="C33" s="52" t="s">
        <v>575</v>
      </c>
      <c r="D33" s="53" t="s">
        <v>577</v>
      </c>
      <c r="E33" s="52" t="s">
        <v>420</v>
      </c>
      <c r="F33" s="53" t="s">
        <v>526</v>
      </c>
      <c r="G33" s="53" t="s">
        <v>485</v>
      </c>
      <c r="H33" s="53" t="s">
        <v>520</v>
      </c>
      <c r="I33" s="52">
        <v>6.6</v>
      </c>
      <c r="J33" s="54" t="s">
        <v>494</v>
      </c>
      <c r="K33" s="53" t="s">
        <v>504</v>
      </c>
      <c r="L33" s="53" t="s">
        <v>489</v>
      </c>
    </row>
    <row r="34" spans="1:12" x14ac:dyDescent="0.3">
      <c r="A34" s="52">
        <v>30</v>
      </c>
      <c r="B34" s="52" t="s">
        <v>578</v>
      </c>
      <c r="C34" s="52" t="s">
        <v>579</v>
      </c>
      <c r="D34" s="53" t="s">
        <v>580</v>
      </c>
      <c r="E34" s="52" t="s">
        <v>372</v>
      </c>
      <c r="F34" s="53" t="s">
        <v>581</v>
      </c>
      <c r="G34" s="53" t="s">
        <v>479</v>
      </c>
      <c r="H34" s="53" t="s">
        <v>486</v>
      </c>
      <c r="I34" s="52">
        <v>7.1</v>
      </c>
      <c r="J34" s="53" t="s">
        <v>481</v>
      </c>
      <c r="K34" s="53" t="s">
        <v>582</v>
      </c>
      <c r="L34" s="53"/>
    </row>
    <row r="36" spans="1:12" ht="15" customHeight="1" x14ac:dyDescent="0.3">
      <c r="A36" s="1" t="s">
        <v>583</v>
      </c>
      <c r="B36" s="1"/>
      <c r="C36" s="1"/>
      <c r="D36" s="1"/>
      <c r="E36" s="1"/>
      <c r="F36" s="1"/>
      <c r="G36" s="1"/>
      <c r="H36" s="1"/>
      <c r="I36" s="1"/>
      <c r="J36" s="1"/>
      <c r="K36" s="1"/>
      <c r="L36" s="1"/>
    </row>
    <row r="37" spans="1:12" x14ac:dyDescent="0.3">
      <c r="A37" s="1"/>
      <c r="B37" s="1"/>
      <c r="C37" s="1"/>
      <c r="D37" s="1"/>
      <c r="E37" s="1"/>
      <c r="F37" s="1"/>
      <c r="G37" s="1"/>
      <c r="H37" s="1"/>
      <c r="I37" s="1"/>
      <c r="J37" s="1"/>
      <c r="K37" s="1"/>
      <c r="L37" s="1"/>
    </row>
  </sheetData>
  <mergeCells count="3">
    <mergeCell ref="A1:L1"/>
    <mergeCell ref="A2:L2"/>
    <mergeCell ref="A36:L37"/>
  </mergeCells>
  <pageMargins left="0.75" right="0.75" top="1" bottom="1"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13</vt:i4>
      </vt:variant>
      <vt:variant>
        <vt:lpstr>Named Ranges</vt:lpstr>
      </vt:variant>
      <vt:variant>
        <vt:i4>13</vt:i4>
      </vt:variant>
    </vt:vector>
  </HeadingPairs>
  <TitlesOfParts>
    <vt:vector size="26" baseType="lpstr">
      <vt:lpstr>1. Combat Potential</vt:lpstr>
      <vt:lpstr>2. Vehicle State</vt:lpstr>
      <vt:lpstr>3. Weapons State</vt:lpstr>
      <vt:lpstr>4. Critical Equipment</vt:lpstr>
      <vt:lpstr>5. Signals Equipment</vt:lpstr>
      <vt:lpstr>6. Ammunition State</vt:lpstr>
      <vt:lpstr>7. POL State</vt:lpstr>
      <vt:lpstr>8. Audit Objections</vt:lpstr>
      <vt:lpstr>9. Upcoming Events</vt:lpstr>
      <vt:lpstr>10. Promotion State</vt:lpstr>
      <vt:lpstr>11. Officers Appointments</vt:lpstr>
      <vt:lpstr>12. Key Appointments JCO-NCO</vt:lpstr>
      <vt:lpstr>13. Personnel Data (Sample)</vt:lpstr>
      <vt:lpstr>'1. Combat Potential'!Print_Titles</vt:lpstr>
      <vt:lpstr>'10. Promotion State'!Print_Titles</vt:lpstr>
      <vt:lpstr>'11. Officers Appointments'!Print_Titles</vt:lpstr>
      <vt:lpstr>'12. Key Appointments JCO-NCO'!Print_Titles</vt:lpstr>
      <vt:lpstr>'13. Personnel Data (Sample)'!Print_Titles</vt:lpstr>
      <vt:lpstr>'2. Vehicle State'!Print_Titles</vt:lpstr>
      <vt:lpstr>'3. Weapons State'!Print_Titles</vt:lpstr>
      <vt:lpstr>'4. Critical Equipment'!Print_Titles</vt:lpstr>
      <vt:lpstr>'5. Signals Equipment'!Print_Titles</vt:lpstr>
      <vt:lpstr>'6. Ammunition State'!Print_Titles</vt:lpstr>
      <vt:lpstr>'7. POL State'!Print_Titles</vt:lpstr>
      <vt:lpstr>'8. Audit Objections'!Print_Titles</vt:lpstr>
      <vt:lpstr>'9. Upcoming Events'!Print_Titles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Muhammad Ali</cp:lastModifiedBy>
  <cp:revision>0</cp:revision>
  <dcterms:created xsi:type="dcterms:W3CDTF">2026-08-13T01:14:11Z</dcterms:created>
  <dcterms:modified xsi:type="dcterms:W3CDTF">2026-08-29T10:11:25Z</dcterms:modified>
  <dc:language>en-US</dc:language>
</cp:coreProperties>
</file>